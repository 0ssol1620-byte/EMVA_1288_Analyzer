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ml.chartshapes+xml"/>
  <Override PartName="/xl/charts/chart19.xml" ContentType="application/vnd.openxmlformats-officedocument.drawingml.chart+xml"/>
  <Override PartName="/xl/drawings/drawing18.xml" ContentType="application/vnd.openxmlformats-officedocument.drawingml.chartshapes+xml"/>
  <Override PartName="/xl/charts/chart20.xml" ContentType="application/vnd.openxmlformats-officedocument.drawingml.chart+xml"/>
  <Override PartName="/xl/drawings/drawing19.xml" ContentType="application/vnd.openxmlformats-officedocument.drawingml.chartshapes+xml"/>
  <Override PartName="/xl/charts/chart21.xml" ContentType="application/vnd.openxmlformats-officedocument.drawingml.chart+xml"/>
  <Override PartName="/xl/drawings/drawing2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.1.100\부서 내 공유폴더\2. 부서\광영상기술지원팀\01.기술지원\10.Source code\01.Application Code\EMVA 1288 측정 프로그램\"/>
    </mc:Choice>
  </mc:AlternateContent>
  <xr:revisionPtr revIDLastSave="0" documentId="13_ncr:1_{8C4CC80B-C765-49AD-AB86-CC9C80466960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Report" sheetId="7" r:id="rId1"/>
    <sheet name="Linearity Data" sheetId="4" r:id="rId2"/>
    <sheet name="Linearity Data(Exposure)" sheetId="12" r:id="rId3"/>
    <sheet name="Linearity HG" sheetId="10" r:id="rId4"/>
    <sheet name="Spectrogram" sheetId="5" r:id="rId5"/>
    <sheet name="Data" sheetId="9" r:id="rId6"/>
    <sheet name="Information" sheetId="8" r:id="rId7"/>
    <sheet name="Operation point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" i="12" l="1"/>
  <c r="V17" i="12"/>
  <c r="I105" i="12"/>
  <c r="H105" i="12"/>
  <c r="I104" i="12"/>
  <c r="H104" i="12"/>
  <c r="I103" i="12"/>
  <c r="H103" i="12"/>
  <c r="I102" i="12"/>
  <c r="H102" i="12"/>
  <c r="I101" i="12"/>
  <c r="H101" i="12"/>
  <c r="I100" i="12"/>
  <c r="H100" i="12"/>
  <c r="I99" i="12"/>
  <c r="H99" i="12"/>
  <c r="I98" i="12"/>
  <c r="H98" i="12"/>
  <c r="I97" i="12"/>
  <c r="H97" i="12"/>
  <c r="I96" i="12"/>
  <c r="H96" i="12"/>
  <c r="I95" i="12"/>
  <c r="H95" i="12"/>
  <c r="I94" i="12"/>
  <c r="H94" i="12"/>
  <c r="I93" i="12"/>
  <c r="H93" i="12"/>
  <c r="I92" i="12"/>
  <c r="H92" i="12"/>
  <c r="I91" i="12"/>
  <c r="H91" i="12"/>
  <c r="I90" i="12"/>
  <c r="H90" i="12"/>
  <c r="I89" i="12"/>
  <c r="H89" i="12"/>
  <c r="I88" i="12"/>
  <c r="H88" i="12"/>
  <c r="I87" i="12"/>
  <c r="H87" i="12"/>
  <c r="I86" i="12"/>
  <c r="H86" i="12"/>
  <c r="I85" i="12"/>
  <c r="H85" i="12"/>
  <c r="I84" i="12"/>
  <c r="H84" i="12"/>
  <c r="I83" i="12"/>
  <c r="H83" i="12"/>
  <c r="I82" i="12"/>
  <c r="H82" i="12"/>
  <c r="I81" i="12"/>
  <c r="H81" i="12"/>
  <c r="I80" i="12"/>
  <c r="H80" i="12"/>
  <c r="I79" i="12"/>
  <c r="H79" i="12"/>
  <c r="I78" i="12"/>
  <c r="H78" i="12"/>
  <c r="I77" i="12"/>
  <c r="H77" i="12"/>
  <c r="I76" i="12"/>
  <c r="H76" i="12"/>
  <c r="I75" i="12"/>
  <c r="H75" i="12"/>
  <c r="I74" i="12"/>
  <c r="H74" i="12"/>
  <c r="I73" i="12"/>
  <c r="H73" i="12"/>
  <c r="I72" i="12"/>
  <c r="H72" i="12"/>
  <c r="I71" i="12"/>
  <c r="H71" i="12"/>
  <c r="I70" i="12"/>
  <c r="H70" i="12"/>
  <c r="I69" i="12"/>
  <c r="H69" i="12"/>
  <c r="I68" i="12"/>
  <c r="H68" i="12"/>
  <c r="I67" i="12"/>
  <c r="H67" i="12"/>
  <c r="I66" i="12"/>
  <c r="H66" i="12"/>
  <c r="I65" i="12"/>
  <c r="H65" i="12"/>
  <c r="I64" i="12"/>
  <c r="H64" i="12"/>
  <c r="I63" i="12"/>
  <c r="H63" i="12"/>
  <c r="I62" i="12"/>
  <c r="H62" i="12"/>
  <c r="I61" i="12"/>
  <c r="H61" i="12"/>
  <c r="I60" i="12"/>
  <c r="H60" i="12"/>
  <c r="I59" i="12"/>
  <c r="H59" i="12"/>
  <c r="I58" i="12"/>
  <c r="H58" i="12"/>
  <c r="I57" i="12"/>
  <c r="H57" i="12"/>
  <c r="I56" i="12"/>
  <c r="H56" i="12"/>
  <c r="I55" i="12"/>
  <c r="H55" i="12"/>
  <c r="I54" i="12"/>
  <c r="H54" i="12"/>
  <c r="I53" i="12"/>
  <c r="H53" i="12"/>
  <c r="I52" i="12"/>
  <c r="H52" i="12"/>
  <c r="I51" i="12"/>
  <c r="H51" i="12"/>
  <c r="I50" i="12"/>
  <c r="H50" i="12"/>
  <c r="I49" i="12"/>
  <c r="H49" i="12"/>
  <c r="I48" i="12"/>
  <c r="H48" i="12"/>
  <c r="I47" i="12"/>
  <c r="H47" i="12"/>
  <c r="I46" i="12"/>
  <c r="H46" i="12"/>
  <c r="I45" i="12"/>
  <c r="H45" i="12"/>
  <c r="I44" i="12"/>
  <c r="H44" i="12"/>
  <c r="I43" i="12"/>
  <c r="H43" i="12"/>
  <c r="I42" i="12"/>
  <c r="H42" i="12"/>
  <c r="W41" i="12"/>
  <c r="I41" i="12"/>
  <c r="H41" i="12"/>
  <c r="I40" i="12"/>
  <c r="H40" i="12"/>
  <c r="W39" i="12"/>
  <c r="I39" i="12"/>
  <c r="H39" i="12"/>
  <c r="I38" i="12"/>
  <c r="H38" i="12"/>
  <c r="I37" i="12"/>
  <c r="H3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W28" i="12"/>
  <c r="I28" i="12"/>
  <c r="H28" i="12"/>
  <c r="W27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V16" i="12"/>
  <c r="I16" i="12"/>
  <c r="H16" i="12"/>
  <c r="I15" i="12"/>
  <c r="H15" i="12"/>
  <c r="I14" i="12"/>
  <c r="H14" i="12"/>
  <c r="V13" i="12"/>
  <c r="I13" i="12"/>
  <c r="H13" i="12"/>
  <c r="I12" i="12"/>
  <c r="H12" i="12"/>
  <c r="I11" i="12"/>
  <c r="H11" i="12"/>
  <c r="I10" i="12"/>
  <c r="H10" i="12"/>
  <c r="I9" i="12"/>
  <c r="H9" i="12"/>
  <c r="G17" i="12" s="1"/>
  <c r="I8" i="12"/>
  <c r="H8" i="12"/>
  <c r="I7" i="12"/>
  <c r="H7" i="12"/>
  <c r="I6" i="12"/>
  <c r="H6" i="12"/>
  <c r="Q5" i="12"/>
  <c r="O5" i="12"/>
  <c r="I5" i="12"/>
  <c r="H5" i="12"/>
  <c r="G63" i="12" s="1"/>
  <c r="G5" i="12"/>
  <c r="D11" i="8"/>
  <c r="D12" i="8" s="1"/>
  <c r="H5" i="4"/>
  <c r="G5" i="4" s="1"/>
  <c r="F5" i="4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Q5" i="4"/>
  <c r="H23" i="4"/>
  <c r="O5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V16" i="4"/>
  <c r="I105" i="10"/>
  <c r="H105" i="10"/>
  <c r="I104" i="10"/>
  <c r="H104" i="10"/>
  <c r="I103" i="10"/>
  <c r="H103" i="10"/>
  <c r="I102" i="10"/>
  <c r="H102" i="10"/>
  <c r="I101" i="10"/>
  <c r="H101" i="10"/>
  <c r="I100" i="10"/>
  <c r="H100" i="10"/>
  <c r="I99" i="10"/>
  <c r="H99" i="10"/>
  <c r="I98" i="10"/>
  <c r="H98" i="10"/>
  <c r="I97" i="10"/>
  <c r="H97" i="10"/>
  <c r="I96" i="10"/>
  <c r="H96" i="10"/>
  <c r="I95" i="10"/>
  <c r="H95" i="10"/>
  <c r="I94" i="10"/>
  <c r="H94" i="10"/>
  <c r="I93" i="10"/>
  <c r="H93" i="10"/>
  <c r="I92" i="10"/>
  <c r="H92" i="10"/>
  <c r="I91" i="10"/>
  <c r="H91" i="10"/>
  <c r="I90" i="10"/>
  <c r="H90" i="10"/>
  <c r="I89" i="10"/>
  <c r="H89" i="10"/>
  <c r="I88" i="10"/>
  <c r="H88" i="10"/>
  <c r="I87" i="10"/>
  <c r="H87" i="10"/>
  <c r="I86" i="10"/>
  <c r="H86" i="10"/>
  <c r="I85" i="10"/>
  <c r="H85" i="10"/>
  <c r="I84" i="10"/>
  <c r="H84" i="10"/>
  <c r="I83" i="10"/>
  <c r="H83" i="10"/>
  <c r="I82" i="10"/>
  <c r="H82" i="10"/>
  <c r="I81" i="10"/>
  <c r="H81" i="10"/>
  <c r="I80" i="10"/>
  <c r="H80" i="10"/>
  <c r="I79" i="10"/>
  <c r="H79" i="10"/>
  <c r="I78" i="10"/>
  <c r="H78" i="10"/>
  <c r="I77" i="10"/>
  <c r="H77" i="10"/>
  <c r="I76" i="10"/>
  <c r="H76" i="10"/>
  <c r="I75" i="10"/>
  <c r="H75" i="10"/>
  <c r="I74" i="10"/>
  <c r="H74" i="10"/>
  <c r="I73" i="10"/>
  <c r="H73" i="10"/>
  <c r="I72" i="10"/>
  <c r="H72" i="10"/>
  <c r="I71" i="10"/>
  <c r="H71" i="10"/>
  <c r="I70" i="10"/>
  <c r="H70" i="10"/>
  <c r="I69" i="10"/>
  <c r="H69" i="10"/>
  <c r="I68" i="10"/>
  <c r="H68" i="10"/>
  <c r="I67" i="10"/>
  <c r="H67" i="10"/>
  <c r="I66" i="10"/>
  <c r="H66" i="10"/>
  <c r="I65" i="10"/>
  <c r="H65" i="10"/>
  <c r="I64" i="10"/>
  <c r="H64" i="10"/>
  <c r="I63" i="10"/>
  <c r="H63" i="10"/>
  <c r="I62" i="10"/>
  <c r="H62" i="10"/>
  <c r="I61" i="10"/>
  <c r="H61" i="10"/>
  <c r="I60" i="10"/>
  <c r="H60" i="10"/>
  <c r="I59" i="10"/>
  <c r="H59" i="10"/>
  <c r="I58" i="10"/>
  <c r="H58" i="10"/>
  <c r="I57" i="10"/>
  <c r="H57" i="10"/>
  <c r="I56" i="10"/>
  <c r="H56" i="10"/>
  <c r="I55" i="10"/>
  <c r="H55" i="10"/>
  <c r="I54" i="10"/>
  <c r="H54" i="10"/>
  <c r="I53" i="10"/>
  <c r="H53" i="10"/>
  <c r="I52" i="10"/>
  <c r="H52" i="10"/>
  <c r="I51" i="10"/>
  <c r="H51" i="10"/>
  <c r="I50" i="10"/>
  <c r="H50" i="10"/>
  <c r="I49" i="10"/>
  <c r="H49" i="10"/>
  <c r="I48" i="10"/>
  <c r="H48" i="10"/>
  <c r="I47" i="10"/>
  <c r="H47" i="10"/>
  <c r="I46" i="10"/>
  <c r="H46" i="10"/>
  <c r="I45" i="10"/>
  <c r="H45" i="10"/>
  <c r="I44" i="10"/>
  <c r="H44" i="10"/>
  <c r="I43" i="10"/>
  <c r="H43" i="10"/>
  <c r="I42" i="10"/>
  <c r="H42" i="10"/>
  <c r="S41" i="10"/>
  <c r="I41" i="10"/>
  <c r="H41" i="10"/>
  <c r="I40" i="10"/>
  <c r="H40" i="10"/>
  <c r="S39" i="10"/>
  <c r="I39" i="10"/>
  <c r="H39" i="10"/>
  <c r="I38" i="10"/>
  <c r="H38" i="10"/>
  <c r="I37" i="10"/>
  <c r="H3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S28" i="10"/>
  <c r="I28" i="10"/>
  <c r="H28" i="10"/>
  <c r="S27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R16" i="10"/>
  <c r="I16" i="10"/>
  <c r="H16" i="10"/>
  <c r="I15" i="10"/>
  <c r="H15" i="10"/>
  <c r="I14" i="10"/>
  <c r="H14" i="10"/>
  <c r="R13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H5" i="10"/>
  <c r="V13" i="4"/>
  <c r="E7" i="9"/>
  <c r="D8" i="6"/>
  <c r="W28" i="4"/>
  <c r="W27" i="4"/>
  <c r="I105" i="4"/>
  <c r="H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W41" i="4"/>
  <c r="I41" i="4"/>
  <c r="I40" i="4"/>
  <c r="W39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F17" i="12" l="1"/>
  <c r="F63" i="12"/>
  <c r="G88" i="12"/>
  <c r="G51" i="12"/>
  <c r="G65" i="12"/>
  <c r="G76" i="12"/>
  <c r="G80" i="12"/>
  <c r="G93" i="12"/>
  <c r="G55" i="12"/>
  <c r="G37" i="12"/>
  <c r="G89" i="12"/>
  <c r="G24" i="12"/>
  <c r="G98" i="12"/>
  <c r="G31" i="12"/>
  <c r="G45" i="12"/>
  <c r="G81" i="12"/>
  <c r="G59" i="12"/>
  <c r="G18" i="12"/>
  <c r="G73" i="12"/>
  <c r="G90" i="12"/>
  <c r="G103" i="12"/>
  <c r="G25" i="12"/>
  <c r="G39" i="12"/>
  <c r="G86" i="12"/>
  <c r="G99" i="12"/>
  <c r="G74" i="12"/>
  <c r="G19" i="12"/>
  <c r="G16" i="12"/>
  <c r="G13" i="12"/>
  <c r="G27" i="12"/>
  <c r="G22" i="12"/>
  <c r="G72" i="12"/>
  <c r="G7" i="12"/>
  <c r="G70" i="12"/>
  <c r="G68" i="12"/>
  <c r="G66" i="12"/>
  <c r="G64" i="12"/>
  <c r="G62" i="12"/>
  <c r="G60" i="12"/>
  <c r="G58" i="12"/>
  <c r="G56" i="12"/>
  <c r="G54" i="12"/>
  <c r="G52" i="12"/>
  <c r="G50" i="12"/>
  <c r="G48" i="12"/>
  <c r="G46" i="12"/>
  <c r="G44" i="12"/>
  <c r="G10" i="12"/>
  <c r="G42" i="12"/>
  <c r="G40" i="12"/>
  <c r="G23" i="12"/>
  <c r="G14" i="12"/>
  <c r="G38" i="12"/>
  <c r="G36" i="12"/>
  <c r="G34" i="12"/>
  <c r="G32" i="12"/>
  <c r="G30" i="12"/>
  <c r="G11" i="12"/>
  <c r="G8" i="12"/>
  <c r="G75" i="12"/>
  <c r="G28" i="12"/>
  <c r="G15" i="12"/>
  <c r="G102" i="12"/>
  <c r="G92" i="12"/>
  <c r="G82" i="12"/>
  <c r="G53" i="12"/>
  <c r="G105" i="12"/>
  <c r="G95" i="12"/>
  <c r="G85" i="12"/>
  <c r="G41" i="12"/>
  <c r="G29" i="12"/>
  <c r="G12" i="12"/>
  <c r="G104" i="12"/>
  <c r="G94" i="12"/>
  <c r="G84" i="12"/>
  <c r="G69" i="12"/>
  <c r="G49" i="12"/>
  <c r="G35" i="12"/>
  <c r="G97" i="12"/>
  <c r="G87" i="12"/>
  <c r="G77" i="12"/>
  <c r="G26" i="12"/>
  <c r="G21" i="12"/>
  <c r="G100" i="12"/>
  <c r="G91" i="12"/>
  <c r="G78" i="12"/>
  <c r="G43" i="12"/>
  <c r="G96" i="12"/>
  <c r="G6" i="12"/>
  <c r="G33" i="12"/>
  <c r="G71" i="12"/>
  <c r="G83" i="12"/>
  <c r="G79" i="12"/>
  <c r="L5" i="12"/>
  <c r="F5" i="12"/>
  <c r="G67" i="12"/>
  <c r="G9" i="12"/>
  <c r="G20" i="12"/>
  <c r="G47" i="12"/>
  <c r="G57" i="12"/>
  <c r="G61" i="12"/>
  <c r="G101" i="12"/>
  <c r="G12" i="10"/>
  <c r="F12" i="10" s="1"/>
  <c r="G50" i="4"/>
  <c r="F50" i="4" s="1"/>
  <c r="E50" i="4" s="1"/>
  <c r="G66" i="4"/>
  <c r="F66" i="4" s="1"/>
  <c r="E66" i="4" s="1"/>
  <c r="G97" i="10"/>
  <c r="F97" i="10" s="1"/>
  <c r="G28" i="10"/>
  <c r="F28" i="10" s="1"/>
  <c r="G33" i="10"/>
  <c r="F33" i="10" s="1"/>
  <c r="G81" i="10"/>
  <c r="F81" i="10" s="1"/>
  <c r="G78" i="10"/>
  <c r="F78" i="10" s="1"/>
  <c r="G99" i="10"/>
  <c r="F99" i="10" s="1"/>
  <c r="G88" i="10"/>
  <c r="F88" i="10" s="1"/>
  <c r="G34" i="4"/>
  <c r="F34" i="4" s="1"/>
  <c r="G98" i="10"/>
  <c r="F98" i="10" s="1"/>
  <c r="G60" i="10"/>
  <c r="F60" i="10" s="1"/>
  <c r="G38" i="10"/>
  <c r="F38" i="10" s="1"/>
  <c r="G82" i="4"/>
  <c r="F82" i="4" s="1"/>
  <c r="E82" i="4" s="1"/>
  <c r="G49" i="10"/>
  <c r="F49" i="10" s="1"/>
  <c r="G79" i="10"/>
  <c r="F79" i="10" s="1"/>
  <c r="G44" i="10"/>
  <c r="F44" i="10" s="1"/>
  <c r="G23" i="10"/>
  <c r="F23" i="10" s="1"/>
  <c r="G62" i="10"/>
  <c r="F62" i="10" s="1"/>
  <c r="G98" i="4"/>
  <c r="F98" i="4" s="1"/>
  <c r="R98" i="4" s="1"/>
  <c r="G26" i="4"/>
  <c r="F26" i="4" s="1"/>
  <c r="G102" i="4"/>
  <c r="F102" i="4" s="1"/>
  <c r="G86" i="4"/>
  <c r="F86" i="4" s="1"/>
  <c r="G70" i="4"/>
  <c r="F70" i="4" s="1"/>
  <c r="G54" i="4"/>
  <c r="F54" i="4" s="1"/>
  <c r="G38" i="4"/>
  <c r="F38" i="4" s="1"/>
  <c r="G94" i="4"/>
  <c r="F94" i="4" s="1"/>
  <c r="E94" i="4" s="1"/>
  <c r="G78" i="4"/>
  <c r="F78" i="4" s="1"/>
  <c r="G62" i="4"/>
  <c r="F62" i="4" s="1"/>
  <c r="G46" i="4"/>
  <c r="F46" i="4" s="1"/>
  <c r="G30" i="4"/>
  <c r="F30" i="4" s="1"/>
  <c r="G96" i="4"/>
  <c r="F96" i="4" s="1"/>
  <c r="E96" i="4" s="1"/>
  <c r="G92" i="4"/>
  <c r="F92" i="4" s="1"/>
  <c r="G90" i="4"/>
  <c r="F90" i="4" s="1"/>
  <c r="E90" i="4" s="1"/>
  <c r="G74" i="4"/>
  <c r="F74" i="4" s="1"/>
  <c r="G58" i="4"/>
  <c r="F58" i="4" s="1"/>
  <c r="G42" i="4"/>
  <c r="F42" i="4" s="1"/>
  <c r="R66" i="4"/>
  <c r="E99" i="10"/>
  <c r="N99" i="10"/>
  <c r="G18" i="10"/>
  <c r="G74" i="10"/>
  <c r="G15" i="10"/>
  <c r="G17" i="10"/>
  <c r="G30" i="10"/>
  <c r="G47" i="10"/>
  <c r="G63" i="10"/>
  <c r="G84" i="10"/>
  <c r="G100" i="10"/>
  <c r="G20" i="10"/>
  <c r="G37" i="10"/>
  <c r="G58" i="10"/>
  <c r="G73" i="10"/>
  <c r="G87" i="10"/>
  <c r="G103" i="10"/>
  <c r="G42" i="10"/>
  <c r="G13" i="10"/>
  <c r="G32" i="10"/>
  <c r="G53" i="10"/>
  <c r="G69" i="10"/>
  <c r="G90" i="10"/>
  <c r="G105" i="10"/>
  <c r="G41" i="10"/>
  <c r="G31" i="10"/>
  <c r="G25" i="10"/>
  <c r="G43" i="10"/>
  <c r="G67" i="10"/>
  <c r="G92" i="10"/>
  <c r="G7" i="10"/>
  <c r="G46" i="10"/>
  <c r="G66" i="10"/>
  <c r="G83" i="10"/>
  <c r="G11" i="10"/>
  <c r="G16" i="10"/>
  <c r="G26" i="10"/>
  <c r="G57" i="10"/>
  <c r="G82" i="10"/>
  <c r="G102" i="10"/>
  <c r="G48" i="10"/>
  <c r="G64" i="10"/>
  <c r="G85" i="10"/>
  <c r="G101" i="10"/>
  <c r="G22" i="10"/>
  <c r="G9" i="10"/>
  <c r="G8" i="10"/>
  <c r="G34" i="10"/>
  <c r="G55" i="10"/>
  <c r="G80" i="10"/>
  <c r="G104" i="10"/>
  <c r="G29" i="10"/>
  <c r="G54" i="10"/>
  <c r="G76" i="10"/>
  <c r="G95" i="10"/>
  <c r="G40" i="10"/>
  <c r="G19" i="10"/>
  <c r="G45" i="10"/>
  <c r="G65" i="10"/>
  <c r="G94" i="10"/>
  <c r="G75" i="10"/>
  <c r="G56" i="10"/>
  <c r="G77" i="10"/>
  <c r="G93" i="10"/>
  <c r="G89" i="10"/>
  <c r="G52" i="10"/>
  <c r="G86" i="10"/>
  <c r="G36" i="10"/>
  <c r="G14" i="10"/>
  <c r="G70" i="10"/>
  <c r="G24" i="10"/>
  <c r="G71" i="10"/>
  <c r="G27" i="10"/>
  <c r="G5" i="10"/>
  <c r="G6" i="10"/>
  <c r="G59" i="10"/>
  <c r="G21" i="10"/>
  <c r="G35" i="10"/>
  <c r="G68" i="10"/>
  <c r="G72" i="10"/>
  <c r="G61" i="10"/>
  <c r="G10" i="10"/>
  <c r="G91" i="10"/>
  <c r="G50" i="10"/>
  <c r="G96" i="10"/>
  <c r="G51" i="10"/>
  <c r="G39" i="10"/>
  <c r="G24" i="4"/>
  <c r="G25" i="4"/>
  <c r="F25" i="4" s="1"/>
  <c r="G27" i="4"/>
  <c r="F27" i="4" s="1"/>
  <c r="G29" i="4"/>
  <c r="F29" i="4" s="1"/>
  <c r="G31" i="4"/>
  <c r="F31" i="4" s="1"/>
  <c r="G33" i="4"/>
  <c r="F33" i="4" s="1"/>
  <c r="G35" i="4"/>
  <c r="F35" i="4" s="1"/>
  <c r="G37" i="4"/>
  <c r="F37" i="4" s="1"/>
  <c r="G39" i="4"/>
  <c r="F39" i="4" s="1"/>
  <c r="G41" i="4"/>
  <c r="F41" i="4" s="1"/>
  <c r="G43" i="4"/>
  <c r="F43" i="4" s="1"/>
  <c r="G45" i="4"/>
  <c r="F45" i="4" s="1"/>
  <c r="G47" i="4"/>
  <c r="F47" i="4" s="1"/>
  <c r="G49" i="4"/>
  <c r="F49" i="4" s="1"/>
  <c r="G51" i="4"/>
  <c r="F51" i="4" s="1"/>
  <c r="G53" i="4"/>
  <c r="F53" i="4" s="1"/>
  <c r="G55" i="4"/>
  <c r="F55" i="4" s="1"/>
  <c r="G57" i="4"/>
  <c r="F57" i="4" s="1"/>
  <c r="G59" i="4"/>
  <c r="F59" i="4" s="1"/>
  <c r="G61" i="4"/>
  <c r="F61" i="4" s="1"/>
  <c r="G63" i="4"/>
  <c r="F63" i="4" s="1"/>
  <c r="G65" i="4"/>
  <c r="F65" i="4" s="1"/>
  <c r="G67" i="4"/>
  <c r="F67" i="4" s="1"/>
  <c r="G69" i="4"/>
  <c r="F69" i="4" s="1"/>
  <c r="G71" i="4"/>
  <c r="F71" i="4" s="1"/>
  <c r="G73" i="4"/>
  <c r="F73" i="4" s="1"/>
  <c r="G75" i="4"/>
  <c r="F75" i="4" s="1"/>
  <c r="G77" i="4"/>
  <c r="F77" i="4" s="1"/>
  <c r="G79" i="4"/>
  <c r="F79" i="4" s="1"/>
  <c r="G81" i="4"/>
  <c r="F81" i="4" s="1"/>
  <c r="G83" i="4"/>
  <c r="F83" i="4" s="1"/>
  <c r="G85" i="4"/>
  <c r="F85" i="4" s="1"/>
  <c r="G87" i="4"/>
  <c r="F87" i="4" s="1"/>
  <c r="G89" i="4"/>
  <c r="F89" i="4" s="1"/>
  <c r="G91" i="4"/>
  <c r="F91" i="4" s="1"/>
  <c r="G93" i="4"/>
  <c r="F93" i="4" s="1"/>
  <c r="G95" i="4"/>
  <c r="F95" i="4" s="1"/>
  <c r="G97" i="4"/>
  <c r="F97" i="4" s="1"/>
  <c r="G99" i="4"/>
  <c r="F99" i="4" s="1"/>
  <c r="G101" i="4"/>
  <c r="F101" i="4" s="1"/>
  <c r="G103" i="4"/>
  <c r="F103" i="4" s="1"/>
  <c r="G105" i="4"/>
  <c r="F105" i="4" s="1"/>
  <c r="G7" i="4"/>
  <c r="G9" i="4"/>
  <c r="G11" i="4"/>
  <c r="G13" i="4"/>
  <c r="G15" i="4"/>
  <c r="G17" i="4"/>
  <c r="G19" i="4"/>
  <c r="G21" i="4"/>
  <c r="G23" i="4"/>
  <c r="G104" i="4"/>
  <c r="F104" i="4" s="1"/>
  <c r="G88" i="4"/>
  <c r="F88" i="4" s="1"/>
  <c r="G80" i="4"/>
  <c r="F80" i="4" s="1"/>
  <c r="G72" i="4"/>
  <c r="F72" i="4" s="1"/>
  <c r="G64" i="4"/>
  <c r="F64" i="4" s="1"/>
  <c r="G56" i="4"/>
  <c r="F56" i="4" s="1"/>
  <c r="G48" i="4"/>
  <c r="F48" i="4" s="1"/>
  <c r="G40" i="4"/>
  <c r="F40" i="4" s="1"/>
  <c r="G32" i="4"/>
  <c r="F32" i="4" s="1"/>
  <c r="G100" i="4"/>
  <c r="F100" i="4" s="1"/>
  <c r="G84" i="4"/>
  <c r="F84" i="4" s="1"/>
  <c r="G76" i="4"/>
  <c r="F76" i="4" s="1"/>
  <c r="G68" i="4"/>
  <c r="F68" i="4" s="1"/>
  <c r="G60" i="4"/>
  <c r="F60" i="4" s="1"/>
  <c r="G52" i="4"/>
  <c r="F52" i="4" s="1"/>
  <c r="G44" i="4"/>
  <c r="F44" i="4" s="1"/>
  <c r="G36" i="4"/>
  <c r="F36" i="4" s="1"/>
  <c r="G28" i="4"/>
  <c r="F28" i="4" s="1"/>
  <c r="G22" i="4"/>
  <c r="G20" i="4"/>
  <c r="G18" i="4"/>
  <c r="G16" i="4"/>
  <c r="G14" i="4"/>
  <c r="G12" i="4"/>
  <c r="G10" i="4"/>
  <c r="G8" i="4"/>
  <c r="G6" i="4"/>
  <c r="F84" i="12" l="1"/>
  <c r="F68" i="12"/>
  <c r="F36" i="12"/>
  <c r="F70" i="12"/>
  <c r="F79" i="12"/>
  <c r="F38" i="12"/>
  <c r="F7" i="12"/>
  <c r="F83" i="12"/>
  <c r="F12" i="12"/>
  <c r="F14" i="12"/>
  <c r="F24" i="12"/>
  <c r="F71" i="12"/>
  <c r="F29" i="12"/>
  <c r="F23" i="12"/>
  <c r="F22" i="12"/>
  <c r="F89" i="12"/>
  <c r="F33" i="12"/>
  <c r="F41" i="12"/>
  <c r="F40" i="12"/>
  <c r="F27" i="12"/>
  <c r="F37" i="12"/>
  <c r="N6" i="12"/>
  <c r="P6" i="12" s="1"/>
  <c r="M6" i="12"/>
  <c r="F6" i="12"/>
  <c r="L6" i="12"/>
  <c r="F85" i="12"/>
  <c r="F42" i="12"/>
  <c r="F13" i="12"/>
  <c r="F55" i="12"/>
  <c r="F96" i="12"/>
  <c r="F95" i="12"/>
  <c r="F10" i="12"/>
  <c r="F16" i="12"/>
  <c r="F93" i="12"/>
  <c r="F43" i="12"/>
  <c r="F105" i="12"/>
  <c r="F44" i="12"/>
  <c r="F19" i="12"/>
  <c r="F80" i="12"/>
  <c r="F78" i="12"/>
  <c r="F53" i="12"/>
  <c r="F46" i="12"/>
  <c r="F74" i="12"/>
  <c r="F76" i="12"/>
  <c r="F91" i="12"/>
  <c r="F82" i="12"/>
  <c r="F48" i="12"/>
  <c r="F99" i="12"/>
  <c r="F65" i="12"/>
  <c r="F100" i="12"/>
  <c r="F92" i="12"/>
  <c r="F50" i="12"/>
  <c r="F86" i="12"/>
  <c r="F51" i="12"/>
  <c r="R5" i="12"/>
  <c r="F34" i="12"/>
  <c r="F45" i="12"/>
  <c r="F94" i="12"/>
  <c r="F31" i="12"/>
  <c r="F104" i="12"/>
  <c r="F98" i="12"/>
  <c r="F72" i="12"/>
  <c r="F21" i="12"/>
  <c r="F102" i="12"/>
  <c r="F52" i="12"/>
  <c r="F39" i="12"/>
  <c r="F88" i="12"/>
  <c r="F101" i="12"/>
  <c r="F26" i="12"/>
  <c r="F15" i="12"/>
  <c r="F54" i="12"/>
  <c r="F25" i="12"/>
  <c r="R63" i="12"/>
  <c r="E63" i="12"/>
  <c r="F61" i="12"/>
  <c r="F77" i="12"/>
  <c r="F28" i="12"/>
  <c r="F56" i="12"/>
  <c r="F103" i="12"/>
  <c r="F57" i="12"/>
  <c r="F87" i="12"/>
  <c r="F75" i="12"/>
  <c r="F58" i="12"/>
  <c r="F90" i="12"/>
  <c r="F47" i="12"/>
  <c r="F97" i="12"/>
  <c r="F8" i="12"/>
  <c r="F60" i="12"/>
  <c r="F73" i="12"/>
  <c r="F20" i="12"/>
  <c r="F35" i="12"/>
  <c r="F11" i="12"/>
  <c r="F62" i="12"/>
  <c r="F18" i="12"/>
  <c r="E17" i="12"/>
  <c r="R17" i="12"/>
  <c r="F9" i="12"/>
  <c r="F49" i="12"/>
  <c r="F30" i="12"/>
  <c r="F64" i="12"/>
  <c r="F59" i="12"/>
  <c r="F67" i="12"/>
  <c r="F69" i="12"/>
  <c r="F32" i="12"/>
  <c r="F66" i="12"/>
  <c r="F81" i="12"/>
  <c r="E98" i="4"/>
  <c r="R50" i="4"/>
  <c r="R96" i="4"/>
  <c r="E78" i="10"/>
  <c r="N78" i="10"/>
  <c r="R82" i="4"/>
  <c r="E44" i="10"/>
  <c r="N44" i="10"/>
  <c r="N88" i="10"/>
  <c r="E88" i="10"/>
  <c r="N62" i="10"/>
  <c r="E62" i="10"/>
  <c r="E98" i="10"/>
  <c r="N98" i="10"/>
  <c r="R90" i="4"/>
  <c r="E60" i="10"/>
  <c r="N60" i="10"/>
  <c r="E74" i="4"/>
  <c r="R74" i="4"/>
  <c r="E86" i="4"/>
  <c r="R86" i="4"/>
  <c r="E46" i="4"/>
  <c r="R46" i="4"/>
  <c r="E38" i="4"/>
  <c r="R38" i="4"/>
  <c r="E102" i="4"/>
  <c r="R102" i="4"/>
  <c r="R42" i="4"/>
  <c r="E42" i="4"/>
  <c r="E92" i="4"/>
  <c r="R92" i="4"/>
  <c r="E62" i="4"/>
  <c r="R62" i="4"/>
  <c r="E54" i="4"/>
  <c r="R54" i="4"/>
  <c r="R94" i="4"/>
  <c r="R58" i="4"/>
  <c r="E58" i="4"/>
  <c r="E78" i="4"/>
  <c r="R78" i="4"/>
  <c r="E70" i="4"/>
  <c r="R70" i="4"/>
  <c r="E104" i="4"/>
  <c r="R104" i="4"/>
  <c r="F17" i="4"/>
  <c r="F9" i="4"/>
  <c r="R85" i="4"/>
  <c r="E85" i="4"/>
  <c r="R61" i="4"/>
  <c r="E61" i="4"/>
  <c r="F91" i="10"/>
  <c r="F77" i="10"/>
  <c r="F85" i="10"/>
  <c r="F90" i="10"/>
  <c r="F13" i="10"/>
  <c r="F30" i="10"/>
  <c r="F12" i="4"/>
  <c r="F20" i="4"/>
  <c r="E44" i="4"/>
  <c r="R44" i="4"/>
  <c r="E76" i="4"/>
  <c r="R76" i="4"/>
  <c r="E40" i="4"/>
  <c r="R40" i="4"/>
  <c r="E72" i="4"/>
  <c r="R72" i="4"/>
  <c r="F23" i="4"/>
  <c r="F15" i="4"/>
  <c r="F7" i="4"/>
  <c r="R99" i="4"/>
  <c r="E99" i="4"/>
  <c r="E91" i="4"/>
  <c r="R91" i="4"/>
  <c r="E83" i="4"/>
  <c r="R83" i="4"/>
  <c r="E75" i="4"/>
  <c r="R75" i="4"/>
  <c r="R67" i="4"/>
  <c r="E67" i="4"/>
  <c r="R59" i="4"/>
  <c r="E59" i="4"/>
  <c r="R51" i="4"/>
  <c r="E51" i="4"/>
  <c r="R43" i="4"/>
  <c r="E43" i="4"/>
  <c r="F51" i="10"/>
  <c r="F10" i="10"/>
  <c r="F35" i="10"/>
  <c r="F5" i="10"/>
  <c r="M23" i="10" s="1"/>
  <c r="F70" i="10"/>
  <c r="F52" i="10"/>
  <c r="F56" i="10"/>
  <c r="F45" i="10"/>
  <c r="F76" i="10"/>
  <c r="F80" i="10"/>
  <c r="F9" i="10"/>
  <c r="M9" i="10"/>
  <c r="F64" i="10"/>
  <c r="F57" i="10"/>
  <c r="F83" i="10"/>
  <c r="F92" i="10"/>
  <c r="F31" i="10"/>
  <c r="F69" i="10"/>
  <c r="F42" i="10"/>
  <c r="F58" i="10"/>
  <c r="F84" i="10"/>
  <c r="F17" i="10"/>
  <c r="N38" i="10"/>
  <c r="E38" i="10"/>
  <c r="E49" i="10"/>
  <c r="N49" i="10"/>
  <c r="F10" i="4"/>
  <c r="F18" i="4"/>
  <c r="E64" i="4"/>
  <c r="R64" i="4"/>
  <c r="E93" i="4"/>
  <c r="R93" i="4"/>
  <c r="E69" i="4"/>
  <c r="R69" i="4"/>
  <c r="E45" i="4"/>
  <c r="R45" i="4"/>
  <c r="F39" i="10"/>
  <c r="F86" i="10"/>
  <c r="F65" i="10"/>
  <c r="F82" i="10"/>
  <c r="F7" i="10"/>
  <c r="F25" i="10"/>
  <c r="F100" i="10"/>
  <c r="E81" i="10"/>
  <c r="N81" i="10"/>
  <c r="F6" i="4"/>
  <c r="N6" i="4" s="1"/>
  <c r="P6" i="4" s="1"/>
  <c r="F14" i="4"/>
  <c r="F22" i="4"/>
  <c r="E52" i="4"/>
  <c r="R52" i="4"/>
  <c r="E84" i="4"/>
  <c r="R84" i="4"/>
  <c r="E48" i="4"/>
  <c r="R48" i="4"/>
  <c r="E80" i="4"/>
  <c r="R80" i="4"/>
  <c r="F21" i="4"/>
  <c r="F13" i="4"/>
  <c r="R105" i="4"/>
  <c r="E105" i="4"/>
  <c r="R97" i="4"/>
  <c r="E97" i="4"/>
  <c r="E89" i="4"/>
  <c r="R89" i="4"/>
  <c r="R81" i="4"/>
  <c r="E81" i="4"/>
  <c r="E73" i="4"/>
  <c r="R73" i="4"/>
  <c r="E65" i="4"/>
  <c r="R65" i="4"/>
  <c r="R57" i="4"/>
  <c r="E57" i="4"/>
  <c r="E49" i="4"/>
  <c r="R49" i="4"/>
  <c r="E41" i="4"/>
  <c r="R41" i="4"/>
  <c r="F96" i="10"/>
  <c r="F61" i="10"/>
  <c r="F21" i="10"/>
  <c r="F27" i="10"/>
  <c r="F14" i="10"/>
  <c r="F89" i="10"/>
  <c r="F75" i="10"/>
  <c r="F19" i="10"/>
  <c r="M19" i="10" s="1"/>
  <c r="F54" i="10"/>
  <c r="F55" i="10"/>
  <c r="F22" i="10"/>
  <c r="F48" i="10"/>
  <c r="F26" i="10"/>
  <c r="F66" i="10"/>
  <c r="F67" i="10"/>
  <c r="F41" i="10"/>
  <c r="F53" i="10"/>
  <c r="F103" i="10"/>
  <c r="F37" i="10"/>
  <c r="M37" i="10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M86" i="10" s="1"/>
  <c r="M87" i="10" s="1"/>
  <c r="M88" i="10" s="1"/>
  <c r="M89" i="10" s="1"/>
  <c r="M90" i="10" s="1"/>
  <c r="M91" i="10" s="1"/>
  <c r="M92" i="10" s="1"/>
  <c r="M93" i="10" s="1"/>
  <c r="M94" i="10" s="1"/>
  <c r="M95" i="10" s="1"/>
  <c r="M96" i="10" s="1"/>
  <c r="M97" i="10" s="1"/>
  <c r="M98" i="10" s="1"/>
  <c r="M99" i="10" s="1"/>
  <c r="M100" i="10" s="1"/>
  <c r="M101" i="10" s="1"/>
  <c r="M102" i="10" s="1"/>
  <c r="M103" i="10" s="1"/>
  <c r="M104" i="10" s="1"/>
  <c r="M105" i="10" s="1"/>
  <c r="F63" i="10"/>
  <c r="F15" i="10"/>
  <c r="E79" i="10"/>
  <c r="N79" i="10"/>
  <c r="R68" i="4"/>
  <c r="E68" i="4"/>
  <c r="E101" i="4"/>
  <c r="R101" i="4"/>
  <c r="R77" i="4"/>
  <c r="E77" i="4"/>
  <c r="E53" i="4"/>
  <c r="R53" i="4"/>
  <c r="F68" i="10"/>
  <c r="F6" i="10"/>
  <c r="F24" i="10"/>
  <c r="F95" i="10"/>
  <c r="F104" i="10"/>
  <c r="F8" i="10"/>
  <c r="F11" i="10"/>
  <c r="F73" i="10"/>
  <c r="F18" i="10"/>
  <c r="F8" i="4"/>
  <c r="F16" i="4"/>
  <c r="R60" i="4"/>
  <c r="E60" i="4"/>
  <c r="E100" i="4"/>
  <c r="R100" i="4"/>
  <c r="E56" i="4"/>
  <c r="R56" i="4"/>
  <c r="R88" i="4"/>
  <c r="E88" i="4"/>
  <c r="F19" i="4"/>
  <c r="F11" i="4"/>
  <c r="E103" i="4"/>
  <c r="R103" i="4"/>
  <c r="R95" i="4"/>
  <c r="E95" i="4"/>
  <c r="R87" i="4"/>
  <c r="E87" i="4"/>
  <c r="E79" i="4"/>
  <c r="R79" i="4"/>
  <c r="R71" i="4"/>
  <c r="E71" i="4"/>
  <c r="E63" i="4"/>
  <c r="R63" i="4"/>
  <c r="E55" i="4"/>
  <c r="R55" i="4"/>
  <c r="R47" i="4"/>
  <c r="E47" i="4"/>
  <c r="E39" i="4"/>
  <c r="R39" i="4"/>
  <c r="F24" i="4"/>
  <c r="F50" i="10"/>
  <c r="F72" i="10"/>
  <c r="F59" i="10"/>
  <c r="F71" i="10"/>
  <c r="F36" i="10"/>
  <c r="M36" i="10" s="1"/>
  <c r="F93" i="10"/>
  <c r="F94" i="10"/>
  <c r="F40" i="10"/>
  <c r="F29" i="10"/>
  <c r="F34" i="10"/>
  <c r="F101" i="10"/>
  <c r="F102" i="10"/>
  <c r="F16" i="10"/>
  <c r="M16" i="10"/>
  <c r="F46" i="10"/>
  <c r="F43" i="10"/>
  <c r="F105" i="10"/>
  <c r="F32" i="10"/>
  <c r="F87" i="10"/>
  <c r="F20" i="10"/>
  <c r="M20" i="10" s="1"/>
  <c r="F47" i="10"/>
  <c r="F74" i="10"/>
  <c r="N97" i="10"/>
  <c r="E97" i="10"/>
  <c r="R49" i="12" l="1"/>
  <c r="E49" i="12"/>
  <c r="E42" i="12"/>
  <c r="R42" i="12"/>
  <c r="R85" i="12"/>
  <c r="E85" i="12"/>
  <c r="R24" i="12"/>
  <c r="E24" i="12"/>
  <c r="R90" i="12"/>
  <c r="E90" i="12"/>
  <c r="R94" i="12"/>
  <c r="E94" i="12"/>
  <c r="E14" i="12"/>
  <c r="R14" i="12"/>
  <c r="R15" i="12"/>
  <c r="E15" i="12"/>
  <c r="R45" i="12"/>
  <c r="E45" i="12"/>
  <c r="R82" i="12"/>
  <c r="E82" i="12"/>
  <c r="R91" i="12"/>
  <c r="E91" i="12"/>
  <c r="R66" i="12"/>
  <c r="E66" i="12"/>
  <c r="R32" i="12"/>
  <c r="E32" i="12"/>
  <c r="R34" i="12"/>
  <c r="E34" i="12"/>
  <c r="E16" i="12"/>
  <c r="R16" i="12"/>
  <c r="R38" i="12"/>
  <c r="E38" i="12"/>
  <c r="E26" i="12"/>
  <c r="R26" i="12"/>
  <c r="E71" i="12"/>
  <c r="R71" i="12"/>
  <c r="E9" i="12"/>
  <c r="R9" i="12"/>
  <c r="V14" i="12"/>
  <c r="V11" i="12" s="1"/>
  <c r="E35" i="12"/>
  <c r="R35" i="12"/>
  <c r="R41" i="12"/>
  <c r="E41" i="12"/>
  <c r="E20" i="12"/>
  <c r="R20" i="12"/>
  <c r="R79" i="12"/>
  <c r="E79" i="12"/>
  <c r="R69" i="12"/>
  <c r="E69" i="12"/>
  <c r="R56" i="12"/>
  <c r="E56" i="12"/>
  <c r="E33" i="12"/>
  <c r="R33" i="12"/>
  <c r="R28" i="12"/>
  <c r="E28" i="12"/>
  <c r="R102" i="12"/>
  <c r="E102" i="12"/>
  <c r="R80" i="12"/>
  <c r="E80" i="12"/>
  <c r="R89" i="12"/>
  <c r="E89" i="12"/>
  <c r="R21" i="12"/>
  <c r="E21" i="12"/>
  <c r="R50" i="12"/>
  <c r="E50" i="12"/>
  <c r="R10" i="12"/>
  <c r="E10" i="12"/>
  <c r="E67" i="12"/>
  <c r="R67" i="12"/>
  <c r="E58" i="12"/>
  <c r="R58" i="12"/>
  <c r="E76" i="12"/>
  <c r="R76" i="12"/>
  <c r="R95" i="12"/>
  <c r="E95" i="12"/>
  <c r="R18" i="12"/>
  <c r="E18" i="12"/>
  <c r="E72" i="12"/>
  <c r="R72" i="12"/>
  <c r="R36" i="12"/>
  <c r="E36" i="12"/>
  <c r="R61" i="12"/>
  <c r="E61" i="12"/>
  <c r="R65" i="12"/>
  <c r="E65" i="12"/>
  <c r="E74" i="12"/>
  <c r="R74" i="12"/>
  <c r="R105" i="12"/>
  <c r="E105" i="12"/>
  <c r="R12" i="12"/>
  <c r="E12" i="12"/>
  <c r="E59" i="12"/>
  <c r="R59" i="12"/>
  <c r="R60" i="12"/>
  <c r="E60" i="12"/>
  <c r="R87" i="12"/>
  <c r="E87" i="12"/>
  <c r="R88" i="12"/>
  <c r="E88" i="12"/>
  <c r="R96" i="12"/>
  <c r="E96" i="12"/>
  <c r="E22" i="12"/>
  <c r="R22" i="12"/>
  <c r="R77" i="12"/>
  <c r="E77" i="12"/>
  <c r="R92" i="12"/>
  <c r="E92" i="12"/>
  <c r="R100" i="12"/>
  <c r="E100" i="12"/>
  <c r="E6" i="12"/>
  <c r="R6" i="12"/>
  <c r="R73" i="12"/>
  <c r="E73" i="12"/>
  <c r="V42" i="12"/>
  <c r="O6" i="12"/>
  <c r="R98" i="12"/>
  <c r="E98" i="12"/>
  <c r="R44" i="12"/>
  <c r="E44" i="12"/>
  <c r="R8" i="12"/>
  <c r="E8" i="12"/>
  <c r="E23" i="12"/>
  <c r="R23" i="12"/>
  <c r="V15" i="12"/>
  <c r="E62" i="12"/>
  <c r="R62" i="12"/>
  <c r="R57" i="12"/>
  <c r="E57" i="12"/>
  <c r="R104" i="12"/>
  <c r="E104" i="12"/>
  <c r="E55" i="12"/>
  <c r="R55" i="12"/>
  <c r="R81" i="12"/>
  <c r="E81" i="12"/>
  <c r="E11" i="12"/>
  <c r="R11" i="12"/>
  <c r="E53" i="12"/>
  <c r="R53" i="12"/>
  <c r="E27" i="12"/>
  <c r="R27" i="12"/>
  <c r="E68" i="12"/>
  <c r="R68" i="12"/>
  <c r="E52" i="12"/>
  <c r="R52" i="12"/>
  <c r="R86" i="12"/>
  <c r="E86" i="12"/>
  <c r="R48" i="12"/>
  <c r="E48" i="12"/>
  <c r="R78" i="12"/>
  <c r="E78" i="12"/>
  <c r="E29" i="12"/>
  <c r="R29" i="12"/>
  <c r="N7" i="12"/>
  <c r="P7" i="12" s="1"/>
  <c r="E19" i="12"/>
  <c r="R19" i="12"/>
  <c r="R101" i="12"/>
  <c r="E101" i="12"/>
  <c r="R75" i="12"/>
  <c r="E75" i="12"/>
  <c r="R70" i="12"/>
  <c r="E70" i="12"/>
  <c r="V41" i="12"/>
  <c r="E37" i="12"/>
  <c r="R37" i="12"/>
  <c r="R99" i="12"/>
  <c r="E99" i="12"/>
  <c r="E46" i="12"/>
  <c r="R46" i="12"/>
  <c r="R43" i="12"/>
  <c r="E43" i="12"/>
  <c r="R83" i="12"/>
  <c r="E83" i="12"/>
  <c r="V40" i="12"/>
  <c r="R64" i="12"/>
  <c r="E64" i="12"/>
  <c r="E25" i="12"/>
  <c r="R25" i="12"/>
  <c r="E39" i="12"/>
  <c r="R39" i="12"/>
  <c r="R51" i="12"/>
  <c r="E51" i="12"/>
  <c r="R30" i="12"/>
  <c r="E30" i="12"/>
  <c r="R97" i="12"/>
  <c r="E97" i="12"/>
  <c r="R93" i="12"/>
  <c r="E93" i="12"/>
  <c r="R40" i="12"/>
  <c r="E40" i="12"/>
  <c r="L7" i="12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19" i="12" s="1"/>
  <c r="L20" i="12" s="1"/>
  <c r="L21" i="12" s="1"/>
  <c r="L22" i="12" s="1"/>
  <c r="L23" i="12" s="1"/>
  <c r="L24" i="12" s="1"/>
  <c r="L25" i="12" s="1"/>
  <c r="L26" i="12" s="1"/>
  <c r="L27" i="12" s="1"/>
  <c r="L28" i="12" s="1"/>
  <c r="L29" i="12" s="1"/>
  <c r="L30" i="12" s="1"/>
  <c r="L31" i="12" s="1"/>
  <c r="L32" i="12" s="1"/>
  <c r="L33" i="12" s="1"/>
  <c r="L34" i="12" s="1"/>
  <c r="L35" i="12" s="1"/>
  <c r="L36" i="12" s="1"/>
  <c r="L37" i="12" s="1"/>
  <c r="L38" i="12" s="1"/>
  <c r="L39" i="12" s="1"/>
  <c r="L40" i="12" s="1"/>
  <c r="L41" i="12" s="1"/>
  <c r="L42" i="12" s="1"/>
  <c r="L43" i="12" s="1"/>
  <c r="L44" i="12" s="1"/>
  <c r="L45" i="12" s="1"/>
  <c r="L46" i="12" s="1"/>
  <c r="L47" i="12" s="1"/>
  <c r="L48" i="12" s="1"/>
  <c r="L49" i="12" s="1"/>
  <c r="L50" i="12" s="1"/>
  <c r="L51" i="12" s="1"/>
  <c r="L52" i="12" s="1"/>
  <c r="L53" i="12" s="1"/>
  <c r="L54" i="12" s="1"/>
  <c r="L55" i="12" s="1"/>
  <c r="L56" i="12" s="1"/>
  <c r="L57" i="12" s="1"/>
  <c r="L58" i="12" s="1"/>
  <c r="L59" i="12" s="1"/>
  <c r="L60" i="12" s="1"/>
  <c r="L61" i="12" s="1"/>
  <c r="L62" i="12" s="1"/>
  <c r="L63" i="12" s="1"/>
  <c r="L64" i="12" s="1"/>
  <c r="L65" i="12" s="1"/>
  <c r="L66" i="12" s="1"/>
  <c r="L67" i="12" s="1"/>
  <c r="L68" i="12" s="1"/>
  <c r="L69" i="12" s="1"/>
  <c r="L70" i="12" s="1"/>
  <c r="L71" i="12" s="1"/>
  <c r="L72" i="12" s="1"/>
  <c r="L73" i="12" s="1"/>
  <c r="L74" i="12" s="1"/>
  <c r="L75" i="12" s="1"/>
  <c r="L76" i="12" s="1"/>
  <c r="L77" i="12" s="1"/>
  <c r="L78" i="12" s="1"/>
  <c r="L79" i="12" s="1"/>
  <c r="L80" i="12" s="1"/>
  <c r="L81" i="12" s="1"/>
  <c r="L82" i="12" s="1"/>
  <c r="L83" i="12" s="1"/>
  <c r="L84" i="12" s="1"/>
  <c r="L85" i="12" s="1"/>
  <c r="L86" i="12" s="1"/>
  <c r="L87" i="12" s="1"/>
  <c r="L88" i="12" s="1"/>
  <c r="L89" i="12" s="1"/>
  <c r="L90" i="12" s="1"/>
  <c r="L91" i="12" s="1"/>
  <c r="L92" i="12" s="1"/>
  <c r="L93" i="12" s="1"/>
  <c r="L94" i="12" s="1"/>
  <c r="L95" i="12" s="1"/>
  <c r="L96" i="12" s="1"/>
  <c r="L97" i="12" s="1"/>
  <c r="L98" i="12" s="1"/>
  <c r="L99" i="12" s="1"/>
  <c r="L100" i="12" s="1"/>
  <c r="L101" i="12" s="1"/>
  <c r="L102" i="12" s="1"/>
  <c r="L103" i="12" s="1"/>
  <c r="L104" i="12" s="1"/>
  <c r="L105" i="12" s="1"/>
  <c r="R103" i="12"/>
  <c r="E103" i="12"/>
  <c r="E31" i="12"/>
  <c r="R31" i="12"/>
  <c r="M7" i="12"/>
  <c r="E47" i="12"/>
  <c r="R47" i="12"/>
  <c r="R54" i="12"/>
  <c r="E54" i="12"/>
  <c r="E13" i="12"/>
  <c r="R13" i="12"/>
  <c r="E7" i="12"/>
  <c r="R7" i="12"/>
  <c r="R84" i="12"/>
  <c r="E84" i="12"/>
  <c r="M32" i="10"/>
  <c r="M27" i="10"/>
  <c r="M15" i="10"/>
  <c r="M21" i="10"/>
  <c r="M18" i="10"/>
  <c r="M29" i="10"/>
  <c r="M7" i="10"/>
  <c r="E101" i="10"/>
  <c r="N101" i="10"/>
  <c r="N105" i="10"/>
  <c r="E105" i="10"/>
  <c r="E40" i="10"/>
  <c r="N40" i="10"/>
  <c r="N71" i="10"/>
  <c r="E71" i="10"/>
  <c r="E104" i="10"/>
  <c r="N104" i="10"/>
  <c r="E6" i="10"/>
  <c r="E68" i="10"/>
  <c r="N68" i="10"/>
  <c r="E53" i="10"/>
  <c r="N53" i="10"/>
  <c r="M26" i="10"/>
  <c r="N54" i="10"/>
  <c r="E54" i="10"/>
  <c r="M14" i="10"/>
  <c r="N82" i="10"/>
  <c r="E82" i="10"/>
  <c r="N58" i="10"/>
  <c r="E58" i="10"/>
  <c r="E92" i="10"/>
  <c r="N92" i="10"/>
  <c r="E56" i="10"/>
  <c r="N56" i="10"/>
  <c r="N85" i="10"/>
  <c r="E85" i="10"/>
  <c r="N77" i="10"/>
  <c r="E77" i="10"/>
  <c r="E59" i="10"/>
  <c r="N59" i="10"/>
  <c r="N73" i="10"/>
  <c r="E73" i="10"/>
  <c r="E63" i="10"/>
  <c r="N63" i="10"/>
  <c r="E47" i="10"/>
  <c r="N47" i="10"/>
  <c r="E93" i="10"/>
  <c r="N93" i="10"/>
  <c r="N50" i="10"/>
  <c r="E50" i="10"/>
  <c r="M8" i="10"/>
  <c r="M6" i="10"/>
  <c r="N103" i="10"/>
  <c r="E103" i="10"/>
  <c r="E66" i="10"/>
  <c r="N66" i="10"/>
  <c r="N55" i="10"/>
  <c r="E55" i="10"/>
  <c r="E89" i="10"/>
  <c r="N89" i="10"/>
  <c r="N61" i="10"/>
  <c r="E61" i="10"/>
  <c r="V14" i="4"/>
  <c r="V40" i="4"/>
  <c r="V15" i="4"/>
  <c r="V42" i="4"/>
  <c r="V41" i="4"/>
  <c r="E6" i="4"/>
  <c r="E7" i="4" s="1"/>
  <c r="E86" i="10"/>
  <c r="N86" i="10"/>
  <c r="N84" i="10"/>
  <c r="E84" i="10"/>
  <c r="M31" i="10"/>
  <c r="N64" i="10"/>
  <c r="E64" i="10"/>
  <c r="N45" i="10"/>
  <c r="E45" i="10"/>
  <c r="R41" i="10"/>
  <c r="R42" i="10"/>
  <c r="R14" i="10"/>
  <c r="R40" i="10"/>
  <c r="R15" i="10"/>
  <c r="M33" i="10"/>
  <c r="M28" i="10"/>
  <c r="M12" i="10"/>
  <c r="E51" i="10"/>
  <c r="N51" i="10"/>
  <c r="M7" i="4"/>
  <c r="O7" i="4" s="1"/>
  <c r="E43" i="10"/>
  <c r="N43" i="10"/>
  <c r="E95" i="10"/>
  <c r="N95" i="10"/>
  <c r="N102" i="10"/>
  <c r="E102" i="10"/>
  <c r="E74" i="10"/>
  <c r="N74" i="10"/>
  <c r="E87" i="10"/>
  <c r="N87" i="10"/>
  <c r="E46" i="10"/>
  <c r="N46" i="10"/>
  <c r="M34" i="10"/>
  <c r="N72" i="10"/>
  <c r="E72" i="10"/>
  <c r="M11" i="10"/>
  <c r="M24" i="10"/>
  <c r="E67" i="10"/>
  <c r="N67" i="10"/>
  <c r="M22" i="10"/>
  <c r="N75" i="10"/>
  <c r="E75" i="10"/>
  <c r="M6" i="4"/>
  <c r="O6" i="4" s="1"/>
  <c r="M25" i="10"/>
  <c r="M17" i="10"/>
  <c r="E69" i="10"/>
  <c r="N69" i="10"/>
  <c r="N83" i="10"/>
  <c r="E83" i="10"/>
  <c r="E57" i="10"/>
  <c r="N57" i="10"/>
  <c r="E76" i="10"/>
  <c r="N76" i="10"/>
  <c r="N70" i="10"/>
  <c r="E70" i="10"/>
  <c r="M13" i="10"/>
  <c r="E90" i="10"/>
  <c r="N90" i="10"/>
  <c r="E94" i="10"/>
  <c r="N94" i="10"/>
  <c r="N41" i="10"/>
  <c r="E41" i="10"/>
  <c r="N48" i="10"/>
  <c r="E48" i="10"/>
  <c r="N96" i="10"/>
  <c r="E96" i="10"/>
  <c r="E100" i="10"/>
  <c r="N100" i="10"/>
  <c r="E7" i="10"/>
  <c r="E65" i="10"/>
  <c r="N65" i="10"/>
  <c r="E39" i="10"/>
  <c r="N39" i="10"/>
  <c r="N42" i="10"/>
  <c r="E42" i="10"/>
  <c r="E80" i="10"/>
  <c r="N80" i="10"/>
  <c r="E52" i="10"/>
  <c r="N52" i="10"/>
  <c r="M35" i="10"/>
  <c r="M10" i="10"/>
  <c r="N7" i="4"/>
  <c r="P7" i="4" s="1"/>
  <c r="M30" i="10"/>
  <c r="N91" i="10"/>
  <c r="E91" i="10"/>
  <c r="V73" i="12" l="1"/>
  <c r="V72" i="12"/>
  <c r="W75" i="12" s="1"/>
  <c r="V76" i="12"/>
  <c r="V26" i="12"/>
  <c r="V25" i="12"/>
  <c r="O7" i="12"/>
  <c r="N8" i="12"/>
  <c r="P8" i="12" s="1"/>
  <c r="M8" i="12"/>
  <c r="J70" i="12"/>
  <c r="J68" i="12"/>
  <c r="J66" i="12"/>
  <c r="J64" i="12"/>
  <c r="J62" i="12"/>
  <c r="J60" i="12"/>
  <c r="J58" i="12"/>
  <c r="J56" i="12"/>
  <c r="J54" i="12"/>
  <c r="J52" i="12"/>
  <c r="J50" i="12"/>
  <c r="J48" i="12"/>
  <c r="J46" i="12"/>
  <c r="J44" i="12"/>
  <c r="K42" i="12"/>
  <c r="J10" i="12"/>
  <c r="J42" i="12"/>
  <c r="K25" i="12"/>
  <c r="J25" i="12"/>
  <c r="K17" i="12"/>
  <c r="K105" i="12"/>
  <c r="K103" i="12"/>
  <c r="K101" i="12"/>
  <c r="K99" i="12"/>
  <c r="K97" i="12"/>
  <c r="K95" i="12"/>
  <c r="K93" i="12"/>
  <c r="K91" i="12"/>
  <c r="K89" i="12"/>
  <c r="K87" i="12"/>
  <c r="K85" i="12"/>
  <c r="K83" i="12"/>
  <c r="K81" i="12"/>
  <c r="K79" i="12"/>
  <c r="K77" i="12"/>
  <c r="K20" i="12"/>
  <c r="J17" i="12"/>
  <c r="K5" i="12"/>
  <c r="J105" i="12"/>
  <c r="J103" i="12"/>
  <c r="J101" i="12"/>
  <c r="J99" i="12"/>
  <c r="J97" i="12"/>
  <c r="J95" i="12"/>
  <c r="J93" i="12"/>
  <c r="J91" i="12"/>
  <c r="J89" i="12"/>
  <c r="J87" i="12"/>
  <c r="J85" i="12"/>
  <c r="J83" i="12"/>
  <c r="J81" i="12"/>
  <c r="J79" i="12"/>
  <c r="J77" i="12"/>
  <c r="K40" i="12"/>
  <c r="K23" i="12"/>
  <c r="J20" i="12"/>
  <c r="K14" i="12"/>
  <c r="J5" i="12"/>
  <c r="V6" i="12" s="1"/>
  <c r="V10" i="12" s="1"/>
  <c r="J73" i="12"/>
  <c r="J71" i="12"/>
  <c r="J63" i="12"/>
  <c r="J55" i="12"/>
  <c r="J49" i="12"/>
  <c r="J43" i="12"/>
  <c r="J26" i="12"/>
  <c r="K15" i="12"/>
  <c r="K71" i="12"/>
  <c r="K69" i="12"/>
  <c r="K67" i="12"/>
  <c r="K65" i="12"/>
  <c r="K63" i="12"/>
  <c r="K61" i="12"/>
  <c r="K59" i="12"/>
  <c r="K57" i="12"/>
  <c r="K55" i="12"/>
  <c r="K53" i="12"/>
  <c r="K51" i="12"/>
  <c r="K49" i="12"/>
  <c r="K47" i="12"/>
  <c r="K45" i="12"/>
  <c r="K43" i="12"/>
  <c r="K26" i="12"/>
  <c r="K18" i="12"/>
  <c r="J69" i="12"/>
  <c r="J67" i="12"/>
  <c r="J65" i="12"/>
  <c r="J61" i="12"/>
  <c r="J59" i="12"/>
  <c r="J57" i="12"/>
  <c r="J53" i="12"/>
  <c r="J51" i="12"/>
  <c r="J47" i="12"/>
  <c r="J45" i="12"/>
  <c r="K21" i="12"/>
  <c r="J18" i="12"/>
  <c r="J39" i="12"/>
  <c r="K22" i="12"/>
  <c r="K98" i="12"/>
  <c r="K88" i="12"/>
  <c r="K78" i="12"/>
  <c r="K75" i="12"/>
  <c r="K70" i="12"/>
  <c r="K50" i="12"/>
  <c r="K27" i="12"/>
  <c r="J22" i="12"/>
  <c r="J98" i="12"/>
  <c r="J88" i="12"/>
  <c r="J78" i="12"/>
  <c r="J75" i="12"/>
  <c r="K100" i="12"/>
  <c r="K90" i="12"/>
  <c r="K80" i="12"/>
  <c r="K66" i="12"/>
  <c r="K46" i="12"/>
  <c r="J100" i="12"/>
  <c r="J90" i="12"/>
  <c r="J80" i="12"/>
  <c r="K74" i="12"/>
  <c r="K34" i="12"/>
  <c r="K16" i="12"/>
  <c r="J74" i="12"/>
  <c r="J96" i="12"/>
  <c r="J92" i="12"/>
  <c r="K36" i="12"/>
  <c r="J29" i="12"/>
  <c r="J11" i="12"/>
  <c r="J36" i="12"/>
  <c r="J16" i="12"/>
  <c r="J82" i="12"/>
  <c r="K56" i="12"/>
  <c r="K39" i="12"/>
  <c r="K73" i="12"/>
  <c r="K35" i="12"/>
  <c r="K13" i="12"/>
  <c r="K64" i="12"/>
  <c r="K86" i="12"/>
  <c r="J86" i="12"/>
  <c r="K92" i="12"/>
  <c r="K11" i="12"/>
  <c r="K8" i="12"/>
  <c r="J28" i="12"/>
  <c r="K96" i="12"/>
  <c r="K60" i="12"/>
  <c r="K32" i="12"/>
  <c r="J8" i="12"/>
  <c r="J104" i="12"/>
  <c r="J19" i="12"/>
  <c r="J6" i="12"/>
  <c r="K104" i="12"/>
  <c r="J32" i="12"/>
  <c r="K28" i="12"/>
  <c r="K19" i="12"/>
  <c r="K82" i="12"/>
  <c r="K6" i="12"/>
  <c r="J35" i="12"/>
  <c r="K31" i="12"/>
  <c r="J13" i="12"/>
  <c r="J31" i="12"/>
  <c r="K94" i="12"/>
  <c r="K52" i="12"/>
  <c r="K38" i="12"/>
  <c r="K24" i="12"/>
  <c r="J21" i="12"/>
  <c r="K10" i="12"/>
  <c r="J94" i="12"/>
  <c r="J38" i="12"/>
  <c r="J34" i="12"/>
  <c r="J24" i="12"/>
  <c r="J15" i="12"/>
  <c r="K7" i="12"/>
  <c r="J7" i="12"/>
  <c r="K102" i="12"/>
  <c r="K76" i="12"/>
  <c r="K48" i="12"/>
  <c r="K30" i="12"/>
  <c r="J27" i="12"/>
  <c r="K12" i="12"/>
  <c r="J102" i="12"/>
  <c r="K72" i="12"/>
  <c r="J30" i="12"/>
  <c r="J12" i="12"/>
  <c r="J72" i="12"/>
  <c r="K58" i="12"/>
  <c r="J41" i="12"/>
  <c r="J23" i="12"/>
  <c r="K9" i="12"/>
  <c r="K54" i="12"/>
  <c r="J40" i="12"/>
  <c r="K29" i="12"/>
  <c r="J76" i="12"/>
  <c r="K62" i="12"/>
  <c r="K41" i="12"/>
  <c r="K37" i="12"/>
  <c r="K84" i="12"/>
  <c r="K44" i="12"/>
  <c r="J37" i="12"/>
  <c r="J84" i="12"/>
  <c r="J9" i="12"/>
  <c r="K68" i="12"/>
  <c r="K33" i="12"/>
  <c r="J14" i="12"/>
  <c r="J33" i="12"/>
  <c r="V71" i="12"/>
  <c r="W76" i="12" s="1"/>
  <c r="V11" i="4"/>
  <c r="E13" i="9" s="1"/>
  <c r="M8" i="4"/>
  <c r="N8" i="4"/>
  <c r="P8" i="4" s="1"/>
  <c r="E8" i="4"/>
  <c r="J36" i="4"/>
  <c r="K15" i="4"/>
  <c r="J43" i="4"/>
  <c r="K70" i="4"/>
  <c r="J5" i="4"/>
  <c r="J80" i="4"/>
  <c r="K34" i="4"/>
  <c r="J6" i="4"/>
  <c r="K33" i="4"/>
  <c r="K72" i="4"/>
  <c r="J20" i="4"/>
  <c r="K47" i="4"/>
  <c r="J75" i="4"/>
  <c r="K102" i="4"/>
  <c r="J10" i="4"/>
  <c r="K37" i="4"/>
  <c r="K92" i="4"/>
  <c r="K11" i="4"/>
  <c r="J39" i="4"/>
  <c r="K42" i="4"/>
  <c r="K5" i="4"/>
  <c r="J93" i="4"/>
  <c r="J14" i="4"/>
  <c r="J78" i="4"/>
  <c r="K41" i="4"/>
  <c r="K105" i="4"/>
  <c r="K88" i="4"/>
  <c r="J52" i="4"/>
  <c r="K79" i="4"/>
  <c r="K6" i="4"/>
  <c r="J41" i="4"/>
  <c r="J42" i="4"/>
  <c r="K69" i="4"/>
  <c r="J16" i="4"/>
  <c r="K43" i="4"/>
  <c r="J71" i="4"/>
  <c r="K66" i="4"/>
  <c r="J45" i="4"/>
  <c r="K48" i="4"/>
  <c r="J38" i="4"/>
  <c r="J102" i="4"/>
  <c r="K65" i="4"/>
  <c r="J101" i="4"/>
  <c r="K40" i="4"/>
  <c r="J84" i="4"/>
  <c r="J11" i="4"/>
  <c r="K38" i="4"/>
  <c r="J89" i="4"/>
  <c r="J74" i="4"/>
  <c r="K101" i="4"/>
  <c r="J48" i="4"/>
  <c r="K75" i="4"/>
  <c r="J103" i="4"/>
  <c r="K74" i="4"/>
  <c r="J53" i="4"/>
  <c r="K64" i="4"/>
  <c r="J46" i="4"/>
  <c r="K9" i="4"/>
  <c r="K73" i="4"/>
  <c r="K16" i="4"/>
  <c r="K52" i="4"/>
  <c r="K20" i="4"/>
  <c r="J7" i="4"/>
  <c r="K98" i="4"/>
  <c r="J85" i="4"/>
  <c r="J70" i="4"/>
  <c r="K97" i="4"/>
  <c r="J77" i="4"/>
  <c r="J94" i="4"/>
  <c r="K24" i="4"/>
  <c r="K58" i="4"/>
  <c r="J31" i="4"/>
  <c r="J104" i="4"/>
  <c r="K76" i="4"/>
  <c r="K29" i="4"/>
  <c r="K100" i="4"/>
  <c r="K94" i="4"/>
  <c r="J67" i="4"/>
  <c r="K39" i="4"/>
  <c r="J12" i="4"/>
  <c r="J15" i="4"/>
  <c r="J88" i="4"/>
  <c r="K36" i="4"/>
  <c r="K13" i="4"/>
  <c r="K68" i="4"/>
  <c r="K78" i="4"/>
  <c r="J51" i="4"/>
  <c r="K23" i="4"/>
  <c r="K104" i="4"/>
  <c r="K49" i="4"/>
  <c r="J22" i="4"/>
  <c r="J21" i="4"/>
  <c r="J87" i="4"/>
  <c r="K59" i="4"/>
  <c r="J32" i="4"/>
  <c r="K85" i="4"/>
  <c r="J58" i="4"/>
  <c r="J57" i="4"/>
  <c r="K22" i="4"/>
  <c r="K95" i="4"/>
  <c r="J68" i="4"/>
  <c r="K83" i="4"/>
  <c r="J82" i="4"/>
  <c r="K46" i="4"/>
  <c r="J92" i="4"/>
  <c r="K32" i="4"/>
  <c r="K80" i="4"/>
  <c r="J55" i="4"/>
  <c r="K27" i="4"/>
  <c r="K53" i="4"/>
  <c r="J25" i="4"/>
  <c r="J91" i="4"/>
  <c r="J8" i="4"/>
  <c r="J47" i="4"/>
  <c r="K45" i="4"/>
  <c r="K55" i="4"/>
  <c r="J61" i="4"/>
  <c r="J64" i="4"/>
  <c r="J90" i="4"/>
  <c r="K54" i="4"/>
  <c r="J100" i="4"/>
  <c r="K89" i="4"/>
  <c r="J62" i="4"/>
  <c r="J69" i="4"/>
  <c r="K26" i="4"/>
  <c r="K99" i="4"/>
  <c r="J72" i="4"/>
  <c r="J105" i="4"/>
  <c r="J98" i="4"/>
  <c r="K28" i="4"/>
  <c r="K62" i="4"/>
  <c r="J35" i="4"/>
  <c r="K7" i="4"/>
  <c r="K10" i="4"/>
  <c r="J56" i="4"/>
  <c r="J17" i="4"/>
  <c r="J97" i="4"/>
  <c r="J19" i="4"/>
  <c r="K17" i="4"/>
  <c r="K82" i="4"/>
  <c r="K44" i="4"/>
  <c r="J26" i="4"/>
  <c r="K63" i="4"/>
  <c r="K96" i="4"/>
  <c r="J63" i="4"/>
  <c r="K35" i="4"/>
  <c r="J34" i="4"/>
  <c r="J99" i="4"/>
  <c r="J44" i="4"/>
  <c r="J65" i="4"/>
  <c r="J9" i="4"/>
  <c r="J28" i="4"/>
  <c r="J54" i="4"/>
  <c r="K91" i="4"/>
  <c r="J37" i="4"/>
  <c r="K57" i="4"/>
  <c r="J30" i="4"/>
  <c r="J29" i="4"/>
  <c r="J95" i="4"/>
  <c r="K67" i="4"/>
  <c r="J40" i="4"/>
  <c r="K93" i="4"/>
  <c r="J66" i="4"/>
  <c r="J73" i="4"/>
  <c r="K30" i="4"/>
  <c r="K103" i="4"/>
  <c r="J76" i="4"/>
  <c r="J79" i="4"/>
  <c r="K51" i="4"/>
  <c r="J24" i="4"/>
  <c r="K77" i="4"/>
  <c r="J50" i="4"/>
  <c r="J49" i="4"/>
  <c r="K14" i="4"/>
  <c r="K87" i="4"/>
  <c r="J60" i="4"/>
  <c r="J13" i="4"/>
  <c r="J86" i="4"/>
  <c r="K8" i="4"/>
  <c r="K50" i="4"/>
  <c r="J23" i="4"/>
  <c r="J96" i="4"/>
  <c r="K60" i="4"/>
  <c r="K21" i="4"/>
  <c r="K84" i="4"/>
  <c r="K86" i="4"/>
  <c r="J59" i="4"/>
  <c r="K31" i="4"/>
  <c r="K25" i="4"/>
  <c r="K90" i="4"/>
  <c r="K61" i="4"/>
  <c r="J33" i="4"/>
  <c r="K71" i="4"/>
  <c r="K19" i="4"/>
  <c r="J18" i="4"/>
  <c r="J83" i="4"/>
  <c r="K81" i="4"/>
  <c r="K18" i="4"/>
  <c r="J81" i="4"/>
  <c r="K12" i="4"/>
  <c r="J27" i="4"/>
  <c r="K56" i="4"/>
  <c r="S25" i="10"/>
  <c r="S26" i="10"/>
  <c r="E8" i="10"/>
  <c r="K99" i="10"/>
  <c r="K83" i="10"/>
  <c r="K70" i="10"/>
  <c r="K54" i="10"/>
  <c r="K91" i="10"/>
  <c r="K76" i="10"/>
  <c r="K62" i="10"/>
  <c r="K46" i="10"/>
  <c r="J92" i="10"/>
  <c r="J71" i="10"/>
  <c r="J55" i="10"/>
  <c r="J30" i="10"/>
  <c r="K100" i="10"/>
  <c r="K84" i="10"/>
  <c r="K67" i="10"/>
  <c r="K51" i="10"/>
  <c r="K38" i="10"/>
  <c r="K25" i="10"/>
  <c r="K79" i="10"/>
  <c r="K50" i="10"/>
  <c r="J88" i="10"/>
  <c r="J63" i="10"/>
  <c r="J43" i="10"/>
  <c r="K96" i="10"/>
  <c r="J74" i="10"/>
  <c r="K55" i="10"/>
  <c r="K34" i="10"/>
  <c r="K17" i="10"/>
  <c r="J48" i="10"/>
  <c r="J9" i="10"/>
  <c r="K6" i="10"/>
  <c r="J93" i="10"/>
  <c r="J77" i="10"/>
  <c r="J52" i="10"/>
  <c r="J31" i="10"/>
  <c r="K105" i="10"/>
  <c r="K89" i="10"/>
  <c r="J75" i="10"/>
  <c r="K60" i="10"/>
  <c r="K44" i="10"/>
  <c r="J28" i="10"/>
  <c r="K12" i="10"/>
  <c r="J98" i="10"/>
  <c r="J82" i="10"/>
  <c r="J69" i="10"/>
  <c r="J53" i="10"/>
  <c r="J32" i="10"/>
  <c r="J27" i="10"/>
  <c r="K94" i="10"/>
  <c r="K78" i="10"/>
  <c r="K57" i="10"/>
  <c r="J42" i="10"/>
  <c r="K26" i="10"/>
  <c r="K13" i="10"/>
  <c r="J73" i="10"/>
  <c r="J46" i="10"/>
  <c r="K16" i="10"/>
  <c r="J34" i="10"/>
  <c r="J95" i="10"/>
  <c r="J66" i="10"/>
  <c r="K40" i="10"/>
  <c r="K37" i="10"/>
  <c r="J11" i="10"/>
  <c r="K11" i="10"/>
  <c r="K103" i="10"/>
  <c r="K73" i="10"/>
  <c r="J104" i="10"/>
  <c r="J84" i="10"/>
  <c r="J59" i="10"/>
  <c r="J17" i="10"/>
  <c r="K92" i="10"/>
  <c r="K71" i="10"/>
  <c r="K47" i="10"/>
  <c r="K30" i="10"/>
  <c r="K8" i="10"/>
  <c r="J35" i="10"/>
  <c r="J19" i="10"/>
  <c r="J105" i="10"/>
  <c r="J89" i="10"/>
  <c r="K74" i="10"/>
  <c r="J44" i="10"/>
  <c r="J22" i="10"/>
  <c r="K101" i="10"/>
  <c r="K85" i="10"/>
  <c r="J72" i="10"/>
  <c r="K56" i="10"/>
  <c r="K39" i="10"/>
  <c r="K22" i="10"/>
  <c r="K9" i="10"/>
  <c r="J94" i="10"/>
  <c r="J78" i="10"/>
  <c r="J65" i="10"/>
  <c r="J49" i="10"/>
  <c r="K28" i="10"/>
  <c r="J102" i="10"/>
  <c r="K90" i="10"/>
  <c r="K69" i="10"/>
  <c r="K53" i="10"/>
  <c r="J40" i="10"/>
  <c r="K23" i="10"/>
  <c r="K10" i="10"/>
  <c r="J70" i="10"/>
  <c r="J37" i="10"/>
  <c r="K29" i="10"/>
  <c r="K14" i="10"/>
  <c r="J91" i="10"/>
  <c r="J62" i="10"/>
  <c r="J33" i="10"/>
  <c r="K33" i="10"/>
  <c r="J38" i="10"/>
  <c r="K95" i="10"/>
  <c r="K66" i="10"/>
  <c r="J100" i="10"/>
  <c r="J80" i="10"/>
  <c r="J51" i="10"/>
  <c r="J8" i="10"/>
  <c r="K88" i="10"/>
  <c r="K63" i="10"/>
  <c r="K43" i="10"/>
  <c r="K27" i="10"/>
  <c r="J60" i="10"/>
  <c r="J18" i="10"/>
  <c r="J13" i="10"/>
  <c r="J101" i="10"/>
  <c r="J85" i="10"/>
  <c r="J68" i="10"/>
  <c r="K41" i="10"/>
  <c r="J12" i="10"/>
  <c r="K97" i="10"/>
  <c r="K81" i="10"/>
  <c r="K68" i="10"/>
  <c r="K52" i="10"/>
  <c r="K35" i="10"/>
  <c r="K18" i="10"/>
  <c r="J6" i="10"/>
  <c r="J90" i="10"/>
  <c r="K75" i="10"/>
  <c r="J61" i="10"/>
  <c r="J45" i="10"/>
  <c r="J26" i="10"/>
  <c r="K102" i="10"/>
  <c r="K86" i="10"/>
  <c r="K65" i="10"/>
  <c r="K49" i="10"/>
  <c r="K36" i="10"/>
  <c r="K19" i="10"/>
  <c r="J79" i="10"/>
  <c r="J58" i="10"/>
  <c r="J29" i="10"/>
  <c r="K24" i="10"/>
  <c r="J103" i="10"/>
  <c r="J87" i="10"/>
  <c r="J50" i="10"/>
  <c r="J20" i="10"/>
  <c r="K20" i="10"/>
  <c r="J25" i="10"/>
  <c r="K87" i="10"/>
  <c r="K58" i="10"/>
  <c r="J96" i="10"/>
  <c r="J67" i="10"/>
  <c r="J47" i="10"/>
  <c r="K104" i="10"/>
  <c r="K80" i="10"/>
  <c r="K59" i="10"/>
  <c r="J41" i="10"/>
  <c r="K21" i="10"/>
  <c r="J56" i="10"/>
  <c r="J15" i="10"/>
  <c r="J10" i="10"/>
  <c r="J97" i="10"/>
  <c r="J81" i="10"/>
  <c r="J64" i="10"/>
  <c r="J39" i="10"/>
  <c r="J5" i="10"/>
  <c r="K93" i="10"/>
  <c r="K77" i="10"/>
  <c r="K64" i="10"/>
  <c r="K48" i="10"/>
  <c r="K31" i="10"/>
  <c r="K15" i="10"/>
  <c r="K5" i="10"/>
  <c r="J86" i="10"/>
  <c r="K72" i="10"/>
  <c r="J57" i="10"/>
  <c r="J36" i="10"/>
  <c r="J23" i="10"/>
  <c r="K98" i="10"/>
  <c r="K82" i="10"/>
  <c r="K61" i="10"/>
  <c r="K45" i="10"/>
  <c r="K32" i="10"/>
  <c r="J16" i="10"/>
  <c r="J76" i="10"/>
  <c r="J54" i="10"/>
  <c r="J24" i="10"/>
  <c r="K7" i="10"/>
  <c r="J99" i="10"/>
  <c r="J83" i="10"/>
  <c r="K42" i="10"/>
  <c r="J7" i="10"/>
  <c r="J14" i="10"/>
  <c r="J21" i="10"/>
  <c r="R11" i="10"/>
  <c r="O8" i="12" l="1"/>
  <c r="M9" i="12"/>
  <c r="N9" i="12"/>
  <c r="P9" i="12" s="1"/>
  <c r="W40" i="12"/>
  <c r="O8" i="4"/>
  <c r="M9" i="4"/>
  <c r="N9" i="4"/>
  <c r="P9" i="4" s="1"/>
  <c r="V6" i="4"/>
  <c r="E9" i="4"/>
  <c r="R6" i="10"/>
  <c r="E9" i="10"/>
  <c r="O9" i="12" l="1"/>
  <c r="N10" i="12"/>
  <c r="P10" i="12" s="1"/>
  <c r="M10" i="12"/>
  <c r="O9" i="4"/>
  <c r="N10" i="4"/>
  <c r="P10" i="4" s="1"/>
  <c r="M10" i="4"/>
  <c r="E10" i="10"/>
  <c r="E10" i="4"/>
  <c r="L5" i="4"/>
  <c r="R7" i="10"/>
  <c r="R8" i="10" s="1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V10" i="4"/>
  <c r="E8" i="9" s="1"/>
  <c r="E5" i="9"/>
  <c r="E6" i="9" s="1"/>
  <c r="W40" i="4"/>
  <c r="R10" i="10"/>
  <c r="L12" i="10"/>
  <c r="L28" i="10"/>
  <c r="L31" i="10"/>
  <c r="L6" i="10"/>
  <c r="L8" i="10"/>
  <c r="L13" i="10"/>
  <c r="L10" i="10"/>
  <c r="L27" i="10"/>
  <c r="L19" i="10"/>
  <c r="L23" i="10"/>
  <c r="L33" i="10"/>
  <c r="L34" i="10"/>
  <c r="L5" i="10"/>
  <c r="L17" i="10"/>
  <c r="L25" i="10"/>
  <c r="L21" i="10"/>
  <c r="L37" i="10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L86" i="10" s="1"/>
  <c r="L87" i="10" s="1"/>
  <c r="L88" i="10" s="1"/>
  <c r="L89" i="10" s="1"/>
  <c r="L90" i="10" s="1"/>
  <c r="L91" i="10" s="1"/>
  <c r="L92" i="10" s="1"/>
  <c r="L93" i="10" s="1"/>
  <c r="L94" i="10" s="1"/>
  <c r="L95" i="10" s="1"/>
  <c r="L96" i="10" s="1"/>
  <c r="L97" i="10" s="1"/>
  <c r="L98" i="10" s="1"/>
  <c r="L99" i="10" s="1"/>
  <c r="L100" i="10" s="1"/>
  <c r="L101" i="10" s="1"/>
  <c r="L102" i="10" s="1"/>
  <c r="L103" i="10" s="1"/>
  <c r="L104" i="10" s="1"/>
  <c r="L105" i="10" s="1"/>
  <c r="L24" i="10"/>
  <c r="L11" i="10"/>
  <c r="L16" i="10"/>
  <c r="L36" i="10"/>
  <c r="L29" i="10"/>
  <c r="L32" i="10"/>
  <c r="L14" i="10"/>
  <c r="L7" i="10"/>
  <c r="L18" i="10"/>
  <c r="L26" i="10"/>
  <c r="L30" i="10"/>
  <c r="L9" i="10"/>
  <c r="L22" i="10"/>
  <c r="L20" i="10"/>
  <c r="L15" i="10"/>
  <c r="L35" i="10"/>
  <c r="S40" i="10"/>
  <c r="O10" i="12" l="1"/>
  <c r="M11" i="12"/>
  <c r="N11" i="12"/>
  <c r="P11" i="12" s="1"/>
  <c r="O10" i="4"/>
  <c r="N11" i="4"/>
  <c r="P11" i="4" s="1"/>
  <c r="M11" i="4"/>
  <c r="E9" i="9"/>
  <c r="X68" i="10"/>
  <c r="V59" i="10"/>
  <c r="V94" i="10"/>
  <c r="W68" i="10"/>
  <c r="V58" i="10"/>
  <c r="X27" i="10"/>
  <c r="X103" i="10"/>
  <c r="W39" i="10"/>
  <c r="W103" i="10"/>
  <c r="X18" i="10"/>
  <c r="X82" i="10"/>
  <c r="V87" i="10"/>
  <c r="W102" i="10"/>
  <c r="X53" i="10"/>
  <c r="W5" i="10"/>
  <c r="V92" i="10"/>
  <c r="V18" i="10"/>
  <c r="V25" i="10"/>
  <c r="X30" i="10"/>
  <c r="V102" i="10"/>
  <c r="W49" i="10"/>
  <c r="V11" i="10"/>
  <c r="V10" i="10"/>
  <c r="V48" i="10"/>
  <c r="V39" i="10"/>
  <c r="X13" i="10"/>
  <c r="W29" i="10"/>
  <c r="V46" i="10"/>
  <c r="X39" i="10"/>
  <c r="W62" i="10"/>
  <c r="V33" i="10"/>
  <c r="X51" i="10"/>
  <c r="X45" i="10"/>
  <c r="W13" i="10"/>
  <c r="X88" i="10"/>
  <c r="W24" i="10"/>
  <c r="V98" i="10"/>
  <c r="V97" i="10"/>
  <c r="V40" i="10"/>
  <c r="X102" i="10"/>
  <c r="V30" i="10"/>
  <c r="V37" i="10"/>
  <c r="W89" i="10"/>
  <c r="X85" i="10"/>
  <c r="X80" i="10"/>
  <c r="X55" i="10"/>
  <c r="V79" i="10"/>
  <c r="W81" i="10"/>
  <c r="W12" i="10"/>
  <c r="X93" i="10"/>
  <c r="W38" i="10"/>
  <c r="X92" i="10"/>
  <c r="W15" i="10"/>
  <c r="W78" i="10"/>
  <c r="W19" i="10"/>
  <c r="W92" i="10"/>
  <c r="W45" i="10"/>
  <c r="X56" i="10"/>
  <c r="W94" i="10"/>
  <c r="X79" i="10"/>
  <c r="X6" i="10"/>
  <c r="X25" i="10"/>
  <c r="V36" i="10"/>
  <c r="V93" i="10"/>
  <c r="V41" i="10"/>
  <c r="X46" i="10"/>
  <c r="X12" i="10"/>
  <c r="W18" i="10"/>
  <c r="X20" i="10"/>
  <c r="X84" i="10"/>
  <c r="V91" i="10"/>
  <c r="W20" i="10"/>
  <c r="W84" i="10"/>
  <c r="V90" i="10"/>
  <c r="X43" i="10"/>
  <c r="V49" i="10"/>
  <c r="W55" i="10"/>
  <c r="V32" i="10"/>
  <c r="X34" i="10"/>
  <c r="X98" i="10"/>
  <c r="W10" i="10"/>
  <c r="X5" i="10"/>
  <c r="X69" i="10"/>
  <c r="W37" i="10"/>
  <c r="V51" i="10"/>
  <c r="X87" i="10"/>
  <c r="W35" i="10"/>
  <c r="X78" i="10"/>
  <c r="X49" i="10"/>
  <c r="V20" i="10"/>
  <c r="V6" i="10"/>
  <c r="V74" i="10"/>
  <c r="W70" i="10"/>
  <c r="X10" i="10"/>
  <c r="V71" i="10"/>
  <c r="X61" i="10"/>
  <c r="W77" i="10"/>
  <c r="X48" i="10"/>
  <c r="W80" i="10"/>
  <c r="X91" i="10"/>
  <c r="X62" i="10"/>
  <c r="X17" i="10"/>
  <c r="W65" i="10"/>
  <c r="V78" i="10"/>
  <c r="W28" i="10"/>
  <c r="V17" i="10"/>
  <c r="V7" i="10"/>
  <c r="V45" i="10"/>
  <c r="W63" i="10"/>
  <c r="W93" i="10"/>
  <c r="X40" i="10"/>
  <c r="X104" i="10"/>
  <c r="V73" i="10"/>
  <c r="W40" i="10"/>
  <c r="W104" i="10"/>
  <c r="W66" i="10"/>
  <c r="X63" i="10"/>
  <c r="W11" i="10"/>
  <c r="W75" i="10"/>
  <c r="V72" i="10"/>
  <c r="X54" i="10"/>
  <c r="V31" i="10"/>
  <c r="W30" i="10"/>
  <c r="X9" i="10"/>
  <c r="X73" i="10"/>
  <c r="V69" i="10"/>
  <c r="W41" i="10"/>
  <c r="W105" i="10"/>
  <c r="V81" i="10"/>
  <c r="V29" i="10"/>
  <c r="W85" i="10"/>
  <c r="W98" i="10"/>
  <c r="V19" i="10"/>
  <c r="W48" i="10"/>
  <c r="V70" i="10"/>
  <c r="X14" i="10"/>
  <c r="V21" i="10"/>
  <c r="W76" i="10"/>
  <c r="V47" i="10"/>
  <c r="W47" i="10"/>
  <c r="V38" i="10"/>
  <c r="W56" i="10"/>
  <c r="W27" i="10"/>
  <c r="V63" i="10"/>
  <c r="X89" i="10"/>
  <c r="V14" i="10"/>
  <c r="X32" i="10"/>
  <c r="W90" i="10"/>
  <c r="V42" i="10"/>
  <c r="W61" i="10"/>
  <c r="X36" i="10"/>
  <c r="X100" i="10"/>
  <c r="V57" i="10"/>
  <c r="W36" i="10"/>
  <c r="W100" i="10"/>
  <c r="V89" i="10"/>
  <c r="X59" i="10"/>
  <c r="W7" i="10"/>
  <c r="W71" i="10"/>
  <c r="V64" i="10"/>
  <c r="X50" i="10"/>
  <c r="V23" i="10"/>
  <c r="W42" i="10"/>
  <c r="X21" i="10"/>
  <c r="X101" i="10"/>
  <c r="W69" i="10"/>
  <c r="W16" i="10"/>
  <c r="X23" i="10"/>
  <c r="W67" i="10"/>
  <c r="V15" i="10"/>
  <c r="X97" i="10"/>
  <c r="W54" i="10"/>
  <c r="W44" i="10"/>
  <c r="V86" i="10"/>
  <c r="W31" i="10"/>
  <c r="X58" i="10"/>
  <c r="W34" i="10"/>
  <c r="V13" i="10"/>
  <c r="V44" i="10"/>
  <c r="X96" i="10"/>
  <c r="V50" i="10"/>
  <c r="X65" i="10"/>
  <c r="X60" i="10"/>
  <c r="V103" i="10"/>
  <c r="X15" i="10"/>
  <c r="X70" i="10"/>
  <c r="W57" i="10"/>
  <c r="W96" i="10"/>
  <c r="V75" i="10"/>
  <c r="X52" i="10"/>
  <c r="V27" i="10"/>
  <c r="W58" i="10"/>
  <c r="W52" i="10"/>
  <c r="V26" i="10"/>
  <c r="X11" i="10"/>
  <c r="X75" i="10"/>
  <c r="W23" i="10"/>
  <c r="W87" i="10"/>
  <c r="V22" i="10"/>
  <c r="X66" i="10"/>
  <c r="V55" i="10"/>
  <c r="W74" i="10"/>
  <c r="X37" i="10"/>
  <c r="V61" i="10"/>
  <c r="V28" i="10"/>
  <c r="W64" i="10"/>
  <c r="X71" i="10"/>
  <c r="V24" i="10"/>
  <c r="W6" i="10"/>
  <c r="V62" i="10"/>
  <c r="X44" i="10"/>
  <c r="W60" i="10"/>
  <c r="X35" i="10"/>
  <c r="W79" i="10"/>
  <c r="X74" i="10"/>
  <c r="W86" i="10"/>
  <c r="V77" i="10"/>
  <c r="X99" i="10"/>
  <c r="V83" i="10"/>
  <c r="X7" i="10"/>
  <c r="W83" i="10"/>
  <c r="W22" i="10"/>
  <c r="V53" i="10"/>
  <c r="V52" i="10"/>
  <c r="V43" i="10"/>
  <c r="V5" i="10"/>
  <c r="V16" i="10"/>
  <c r="V54" i="10"/>
  <c r="V12" i="10"/>
  <c r="X77" i="10"/>
  <c r="X8" i="10"/>
  <c r="X72" i="10"/>
  <c r="V67" i="10"/>
  <c r="W8" i="10"/>
  <c r="W72" i="10"/>
  <c r="V66" i="10"/>
  <c r="X31" i="10"/>
  <c r="V9" i="10"/>
  <c r="W43" i="10"/>
  <c r="V8" i="10"/>
  <c r="X22" i="10"/>
  <c r="X86" i="10"/>
  <c r="V95" i="10"/>
  <c r="W82" i="10"/>
  <c r="X41" i="10"/>
  <c r="X105" i="10"/>
  <c r="W9" i="10"/>
  <c r="W73" i="10"/>
  <c r="V68" i="10"/>
  <c r="W26" i="10"/>
  <c r="W21" i="10"/>
  <c r="V60" i="10"/>
  <c r="X64" i="10"/>
  <c r="V88" i="10"/>
  <c r="V82" i="10"/>
  <c r="W99" i="10"/>
  <c r="X94" i="10"/>
  <c r="X33" i="10"/>
  <c r="W33" i="10"/>
  <c r="X28" i="10"/>
  <c r="X95" i="10"/>
  <c r="X19" i="10"/>
  <c r="V80" i="10"/>
  <c r="X29" i="10"/>
  <c r="V76" i="10"/>
  <c r="X67" i="10"/>
  <c r="X16" i="10"/>
  <c r="V104" i="10"/>
  <c r="W17" i="10"/>
  <c r="V105" i="10"/>
  <c r="X26" i="10"/>
  <c r="V96" i="10"/>
  <c r="X24" i="10"/>
  <c r="V99" i="10"/>
  <c r="W88" i="10"/>
  <c r="X47" i="10"/>
  <c r="W59" i="10"/>
  <c r="X38" i="10"/>
  <c r="W14" i="10"/>
  <c r="X57" i="10"/>
  <c r="W25" i="10"/>
  <c r="V100" i="10"/>
  <c r="W53" i="10"/>
  <c r="V65" i="10"/>
  <c r="W32" i="10"/>
  <c r="V56" i="10"/>
  <c r="X81" i="10"/>
  <c r="X76" i="10"/>
  <c r="X83" i="10"/>
  <c r="X42" i="10"/>
  <c r="V84" i="10"/>
  <c r="X90" i="10"/>
  <c r="W97" i="10"/>
  <c r="W50" i="10"/>
  <c r="V35" i="10"/>
  <c r="V34" i="10"/>
  <c r="W91" i="10"/>
  <c r="W46" i="10"/>
  <c r="V101" i="10"/>
  <c r="W101" i="10"/>
  <c r="W51" i="10"/>
  <c r="V85" i="10"/>
  <c r="W95" i="10"/>
  <c r="E11" i="4"/>
  <c r="R76" i="10"/>
  <c r="R25" i="10"/>
  <c r="V26" i="4"/>
  <c r="E19" i="9" s="1"/>
  <c r="V25" i="4"/>
  <c r="E17" i="9" s="1"/>
  <c r="V76" i="4"/>
  <c r="R26" i="10"/>
  <c r="E11" i="10"/>
  <c r="O11" i="12" l="1"/>
  <c r="N12" i="12"/>
  <c r="P12" i="12" s="1"/>
  <c r="M12" i="12"/>
  <c r="O11" i="4"/>
  <c r="N12" i="4"/>
  <c r="P12" i="4" s="1"/>
  <c r="M12" i="4"/>
  <c r="E12" i="10"/>
  <c r="E18" i="9"/>
  <c r="E20" i="9"/>
  <c r="E12" i="4"/>
  <c r="O12" i="12" l="1"/>
  <c r="N13" i="12"/>
  <c r="P13" i="12" s="1"/>
  <c r="M13" i="12"/>
  <c r="O12" i="4"/>
  <c r="N13" i="4"/>
  <c r="P13" i="4" s="1"/>
  <c r="M13" i="4"/>
  <c r="E13" i="4"/>
  <c r="E22" i="9"/>
  <c r="E21" i="9"/>
  <c r="E13" i="10"/>
  <c r="O13" i="12" l="1"/>
  <c r="M14" i="12"/>
  <c r="N14" i="12"/>
  <c r="P14" i="12" s="1"/>
  <c r="O13" i="4"/>
  <c r="M14" i="4"/>
  <c r="N14" i="4"/>
  <c r="P14" i="4" s="1"/>
  <c r="E14" i="10"/>
  <c r="E14" i="4"/>
  <c r="O14" i="12" l="1"/>
  <c r="M15" i="12"/>
  <c r="N15" i="12"/>
  <c r="P15" i="12" s="1"/>
  <c r="O14" i="4"/>
  <c r="M15" i="4"/>
  <c r="N15" i="4"/>
  <c r="P15" i="4" s="1"/>
  <c r="E15" i="4"/>
  <c r="E15" i="10"/>
  <c r="O15" i="12" l="1"/>
  <c r="N16" i="12"/>
  <c r="P16" i="12" s="1"/>
  <c r="M16" i="12"/>
  <c r="O15" i="4"/>
  <c r="M16" i="4"/>
  <c r="N16" i="4"/>
  <c r="P16" i="4" s="1"/>
  <c r="E16" i="10"/>
  <c r="E16" i="4"/>
  <c r="O16" i="12" l="1"/>
  <c r="M17" i="12"/>
  <c r="N17" i="12"/>
  <c r="P17" i="12" s="1"/>
  <c r="O16" i="4"/>
  <c r="N17" i="4"/>
  <c r="P17" i="4" s="1"/>
  <c r="M17" i="4"/>
  <c r="E17" i="4"/>
  <c r="E17" i="10"/>
  <c r="O17" i="12" l="1"/>
  <c r="M18" i="12"/>
  <c r="N18" i="12"/>
  <c r="P18" i="12" s="1"/>
  <c r="O17" i="4"/>
  <c r="N18" i="4"/>
  <c r="P18" i="4" s="1"/>
  <c r="M18" i="4"/>
  <c r="E18" i="10"/>
  <c r="E18" i="4"/>
  <c r="O18" i="12" l="1"/>
  <c r="M19" i="12"/>
  <c r="N19" i="12"/>
  <c r="P19" i="12" s="1"/>
  <c r="O18" i="4"/>
  <c r="N19" i="4"/>
  <c r="P19" i="4" s="1"/>
  <c r="M19" i="4"/>
  <c r="E19" i="4"/>
  <c r="E19" i="10"/>
  <c r="O19" i="12" l="1"/>
  <c r="N20" i="12"/>
  <c r="P20" i="12" s="1"/>
  <c r="M20" i="12"/>
  <c r="O19" i="4"/>
  <c r="N20" i="4"/>
  <c r="P20" i="4" s="1"/>
  <c r="M20" i="4"/>
  <c r="E20" i="4"/>
  <c r="E20" i="10"/>
  <c r="O20" i="12" l="1"/>
  <c r="N21" i="12"/>
  <c r="P21" i="12" s="1"/>
  <c r="M21" i="12"/>
  <c r="O20" i="4"/>
  <c r="M21" i="4"/>
  <c r="N21" i="4"/>
  <c r="P21" i="4" s="1"/>
  <c r="E21" i="4"/>
  <c r="E21" i="10"/>
  <c r="O21" i="12" l="1"/>
  <c r="M22" i="12"/>
  <c r="N22" i="12"/>
  <c r="P22" i="12" s="1"/>
  <c r="O21" i="4"/>
  <c r="M22" i="4"/>
  <c r="N22" i="4"/>
  <c r="P22" i="4" s="1"/>
  <c r="E22" i="10"/>
  <c r="E22" i="4"/>
  <c r="O22" i="12" l="1"/>
  <c r="N23" i="12"/>
  <c r="P23" i="12" s="1"/>
  <c r="M23" i="12"/>
  <c r="O22" i="4"/>
  <c r="M23" i="4"/>
  <c r="N23" i="4"/>
  <c r="P23" i="4" s="1"/>
  <c r="E23" i="4"/>
  <c r="E24" i="4" s="1"/>
  <c r="E23" i="10"/>
  <c r="O23" i="12" l="1"/>
  <c r="M24" i="12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36" i="12" s="1"/>
  <c r="M37" i="12" s="1"/>
  <c r="M38" i="12" s="1"/>
  <c r="M39" i="12" s="1"/>
  <c r="M40" i="12" s="1"/>
  <c r="M41" i="12" s="1"/>
  <c r="M42" i="12" s="1"/>
  <c r="M43" i="12" s="1"/>
  <c r="M44" i="12" s="1"/>
  <c r="M45" i="12" s="1"/>
  <c r="M46" i="12" s="1"/>
  <c r="M47" i="12" s="1"/>
  <c r="M48" i="12" s="1"/>
  <c r="M49" i="12" s="1"/>
  <c r="M50" i="12" s="1"/>
  <c r="M51" i="12" s="1"/>
  <c r="M52" i="12" s="1"/>
  <c r="M53" i="12" s="1"/>
  <c r="M54" i="12" s="1"/>
  <c r="M55" i="12" s="1"/>
  <c r="M56" i="12" s="1"/>
  <c r="M57" i="12" s="1"/>
  <c r="M58" i="12" s="1"/>
  <c r="M59" i="12" s="1"/>
  <c r="M60" i="12" s="1"/>
  <c r="M61" i="12" s="1"/>
  <c r="M62" i="12" s="1"/>
  <c r="M63" i="12" s="1"/>
  <c r="M64" i="12" s="1"/>
  <c r="M65" i="12" s="1"/>
  <c r="M66" i="12" s="1"/>
  <c r="M67" i="12" s="1"/>
  <c r="M68" i="12" s="1"/>
  <c r="M69" i="12" s="1"/>
  <c r="M70" i="12" s="1"/>
  <c r="M71" i="12" s="1"/>
  <c r="M72" i="12" s="1"/>
  <c r="M73" i="12" s="1"/>
  <c r="M74" i="12" s="1"/>
  <c r="M75" i="12" s="1"/>
  <c r="M76" i="12" s="1"/>
  <c r="M77" i="12" s="1"/>
  <c r="M78" i="12" s="1"/>
  <c r="M79" i="12" s="1"/>
  <c r="M80" i="12" s="1"/>
  <c r="M81" i="12" s="1"/>
  <c r="M82" i="12" s="1"/>
  <c r="M83" i="12" s="1"/>
  <c r="M84" i="12" s="1"/>
  <c r="M85" i="12" s="1"/>
  <c r="M86" i="12" s="1"/>
  <c r="M87" i="12" s="1"/>
  <c r="M88" i="12" s="1"/>
  <c r="M89" i="12" s="1"/>
  <c r="M90" i="12" s="1"/>
  <c r="M91" i="12" s="1"/>
  <c r="M92" i="12" s="1"/>
  <c r="M93" i="12" s="1"/>
  <c r="M94" i="12" s="1"/>
  <c r="M95" i="12" s="1"/>
  <c r="M96" i="12" s="1"/>
  <c r="M97" i="12" s="1"/>
  <c r="M98" i="12" s="1"/>
  <c r="M99" i="12" s="1"/>
  <c r="M100" i="12" s="1"/>
  <c r="M101" i="12" s="1"/>
  <c r="M102" i="12" s="1"/>
  <c r="M103" i="12" s="1"/>
  <c r="M104" i="12" s="1"/>
  <c r="M24" i="4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O23" i="4"/>
  <c r="E25" i="4"/>
  <c r="E24" i="10"/>
  <c r="M105" i="12" l="1"/>
  <c r="W26" i="12" s="1"/>
  <c r="W25" i="12"/>
  <c r="M105" i="4"/>
  <c r="W26" i="4" s="1"/>
  <c r="E10" i="9" s="1"/>
  <c r="W25" i="4"/>
  <c r="E26" i="4"/>
  <c r="E25" i="10"/>
  <c r="E11" i="9" l="1"/>
  <c r="E12" i="9"/>
  <c r="E27" i="4"/>
  <c r="E26" i="10"/>
  <c r="E28" i="4" l="1"/>
  <c r="E27" i="10"/>
  <c r="E29" i="4" l="1"/>
  <c r="E28" i="10"/>
  <c r="E30" i="4" l="1"/>
  <c r="E29" i="10"/>
  <c r="E31" i="4" l="1"/>
  <c r="E30" i="10"/>
  <c r="E32" i="4" l="1"/>
  <c r="E33" i="4" s="1"/>
  <c r="E31" i="10"/>
  <c r="E34" i="4" l="1"/>
  <c r="E32" i="10"/>
  <c r="E35" i="4" l="1"/>
  <c r="E33" i="10"/>
  <c r="E36" i="4" l="1"/>
  <c r="E34" i="10"/>
  <c r="E37" i="4" l="1"/>
  <c r="E35" i="10"/>
  <c r="V71" i="4" l="1"/>
  <c r="V72" i="4"/>
  <c r="W75" i="4" s="1"/>
  <c r="E36" i="10"/>
  <c r="R33" i="4" l="1"/>
  <c r="R34" i="4"/>
  <c r="W76" i="4"/>
  <c r="R21" i="4"/>
  <c r="R6" i="4"/>
  <c r="R19" i="4"/>
  <c r="R16" i="4"/>
  <c r="R26" i="4"/>
  <c r="R30" i="4"/>
  <c r="R10" i="4"/>
  <c r="R5" i="4"/>
  <c r="R27" i="4"/>
  <c r="R23" i="4"/>
  <c r="R13" i="4"/>
  <c r="R8" i="4"/>
  <c r="R32" i="4"/>
  <c r="R9" i="4"/>
  <c r="R22" i="4"/>
  <c r="R20" i="4"/>
  <c r="R31" i="4"/>
  <c r="R11" i="4"/>
  <c r="R28" i="4"/>
  <c r="R24" i="4"/>
  <c r="R17" i="4"/>
  <c r="R25" i="4"/>
  <c r="R18" i="4"/>
  <c r="R12" i="4"/>
  <c r="R15" i="4"/>
  <c r="R29" i="4"/>
  <c r="R14" i="4"/>
  <c r="R7" i="4"/>
  <c r="R35" i="4"/>
  <c r="R36" i="4"/>
  <c r="R37" i="4"/>
  <c r="E37" i="10"/>
  <c r="V73" i="4" l="1"/>
  <c r="E16" i="9" s="1"/>
  <c r="R72" i="10"/>
  <c r="S75" i="10" s="1"/>
  <c r="R71" i="10"/>
  <c r="S76" i="10" l="1"/>
  <c r="N6" i="10"/>
  <c r="N5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R73" i="10" l="1"/>
</calcChain>
</file>

<file path=xl/sharedStrings.xml><?xml version="1.0" encoding="utf-8"?>
<sst xmlns="http://schemas.openxmlformats.org/spreadsheetml/2006/main" count="279" uniqueCount="149">
  <si>
    <t>Gray Value
(uy-Uy.dark)</t>
    <phoneticPr fontId="1" type="noConversion"/>
  </si>
  <si>
    <t>fit</t>
    <phoneticPr fontId="1" type="noConversion"/>
  </si>
  <si>
    <t>Output</t>
    <phoneticPr fontId="1" type="noConversion"/>
  </si>
  <si>
    <t>기울기</t>
  </si>
  <si>
    <t>오프셋</t>
  </si>
  <si>
    <t>spectorogram</t>
    <phoneticPr fontId="1" type="noConversion"/>
  </si>
  <si>
    <t>H-DSNU</t>
    <phoneticPr fontId="1" type="noConversion"/>
  </si>
  <si>
    <t>V-DSNU</t>
    <phoneticPr fontId="1" type="noConversion"/>
  </si>
  <si>
    <t>H-PRNU</t>
    <phoneticPr fontId="1" type="noConversion"/>
  </si>
  <si>
    <t>V-PRNU</t>
    <phoneticPr fontId="1" type="noConversion"/>
  </si>
  <si>
    <t>cycles</t>
    <phoneticPr fontId="1" type="noConversion"/>
  </si>
  <si>
    <t>X</t>
    <phoneticPr fontId="1" type="noConversion"/>
  </si>
  <si>
    <t>Y</t>
    <phoneticPr fontId="1" type="noConversion"/>
  </si>
  <si>
    <t>photon</t>
    <phoneticPr fontId="1" type="noConversion"/>
  </si>
  <si>
    <t>ratio</t>
    <phoneticPr fontId="1" type="noConversion"/>
  </si>
  <si>
    <t>SNR 1</t>
    <phoneticPr fontId="1" type="noConversion"/>
  </si>
  <si>
    <t>항목</t>
    <phoneticPr fontId="1" type="noConversion"/>
  </si>
  <si>
    <t>fit Line</t>
    <phoneticPr fontId="1" type="noConversion"/>
  </si>
  <si>
    <t>Saturation Line</t>
    <phoneticPr fontId="1" type="noConversion"/>
  </si>
  <si>
    <t>선형성 에러(%)</t>
    <phoneticPr fontId="1" type="noConversion"/>
  </si>
  <si>
    <t>STD</t>
    <phoneticPr fontId="1" type="noConversion"/>
  </si>
  <si>
    <t>Linearity Error(%)</t>
    <phoneticPr fontId="1" type="noConversion"/>
  </si>
  <si>
    <t>SNR MAX(Saturation)</t>
    <phoneticPr fontId="1" type="noConversion"/>
  </si>
  <si>
    <t>theor.limit</t>
    <phoneticPr fontId="1" type="noConversion"/>
  </si>
  <si>
    <t>Index</t>
    <phoneticPr fontId="1" type="noConversion"/>
  </si>
  <si>
    <t>Variance slop</t>
    <phoneticPr fontId="1" type="noConversion"/>
  </si>
  <si>
    <t>X</t>
    <phoneticPr fontId="1" type="noConversion"/>
  </si>
  <si>
    <t>Y</t>
    <phoneticPr fontId="1" type="noConversion"/>
  </si>
  <si>
    <t>Quamtum Eppiciency</t>
    <phoneticPr fontId="1" type="noConversion"/>
  </si>
  <si>
    <t>System Gain</t>
    <phoneticPr fontId="1" type="noConversion"/>
  </si>
  <si>
    <t>Variance Fit</t>
    <phoneticPr fontId="1" type="noConversion"/>
  </si>
  <si>
    <t>STD CHK</t>
    <phoneticPr fontId="1" type="noConversion"/>
  </si>
  <si>
    <t xml:space="preserve">Variance gray </t>
    <phoneticPr fontId="1" type="noConversion"/>
  </si>
  <si>
    <t>photons</t>
    <phoneticPr fontId="1" type="noConversion"/>
  </si>
  <si>
    <t>SNR(linear)</t>
    <phoneticPr fontId="1" type="noConversion"/>
  </si>
  <si>
    <t>GrayValue</t>
    <phoneticPr fontId="1" type="noConversion"/>
  </si>
  <si>
    <t>Input Data</t>
    <phoneticPr fontId="1" type="noConversion"/>
  </si>
  <si>
    <t>DN</t>
    <phoneticPr fontId="1" type="noConversion"/>
  </si>
  <si>
    <t>Value</t>
    <phoneticPr fontId="1" type="noConversion"/>
  </si>
  <si>
    <t>η</t>
    <phoneticPr fontId="1" type="noConversion"/>
  </si>
  <si>
    <t>%</t>
    <phoneticPr fontId="1" type="noConversion"/>
  </si>
  <si>
    <t>Overall System Gain</t>
    <phoneticPr fontId="1" type="noConversion"/>
  </si>
  <si>
    <t>e-/DN</t>
    <phoneticPr fontId="1" type="noConversion"/>
  </si>
  <si>
    <t>Dark Noise</t>
    <phoneticPr fontId="1" type="noConversion"/>
  </si>
  <si>
    <t>e-</t>
    <phoneticPr fontId="1" type="noConversion"/>
  </si>
  <si>
    <t>SNR</t>
    <phoneticPr fontId="1" type="noConversion"/>
  </si>
  <si>
    <t>bit</t>
    <phoneticPr fontId="1" type="noConversion"/>
  </si>
  <si>
    <t>Non-Whiteness factor F(50%)</t>
    <phoneticPr fontId="1" type="noConversion"/>
  </si>
  <si>
    <t>LE</t>
    <phoneticPr fontId="1" type="noConversion"/>
  </si>
  <si>
    <t>Absolute sensitivity threshold</t>
    <phoneticPr fontId="1" type="noConversion"/>
  </si>
  <si>
    <t>Dynamic Range</t>
    <phoneticPr fontId="1" type="noConversion"/>
  </si>
  <si>
    <t>DR</t>
    <phoneticPr fontId="1" type="noConversion"/>
  </si>
  <si>
    <t>DR bit</t>
    <phoneticPr fontId="1" type="noConversion"/>
  </si>
  <si>
    <t>Description</t>
    <phoneticPr fontId="1" type="noConversion"/>
  </si>
  <si>
    <t>EMVA 1288 Version</t>
    <phoneticPr fontId="1" type="noConversion"/>
  </si>
  <si>
    <t>Model</t>
    <phoneticPr fontId="1" type="noConversion"/>
  </si>
  <si>
    <t>Type of data Presented</t>
    <phoneticPr fontId="1" type="noConversion"/>
  </si>
  <si>
    <t>Single</t>
    <phoneticPr fontId="1" type="noConversion"/>
  </si>
  <si>
    <t>Vender</t>
    <phoneticPr fontId="1" type="noConversion"/>
  </si>
  <si>
    <t>f-Number</t>
    <phoneticPr fontId="1" type="noConversion"/>
  </si>
  <si>
    <t>f#</t>
    <phoneticPr fontId="1" type="noConversion"/>
  </si>
  <si>
    <t>Gain value</t>
    <phoneticPr fontId="1" type="noConversion"/>
  </si>
  <si>
    <t>Date</t>
    <phoneticPr fontId="1" type="noConversion"/>
  </si>
  <si>
    <t>Light wavelength
Mono
Color
NIR</t>
    <phoneticPr fontId="1" type="noConversion"/>
  </si>
  <si>
    <t xml:space="preserve">
nm
nm
nm</t>
    <phoneticPr fontId="1" type="noConversion"/>
  </si>
  <si>
    <t>Temporal
STD</t>
    <phoneticPr fontId="1" type="noConversion"/>
  </si>
  <si>
    <t>Total
STD</t>
    <phoneticPr fontId="1" type="noConversion"/>
  </si>
  <si>
    <t>Symbol</t>
    <phoneticPr fontId="1" type="noConversion"/>
  </si>
  <si>
    <t>SNR Max</t>
    <phoneticPr fontId="1" type="noConversion"/>
  </si>
  <si>
    <t>Ratio</t>
    <phoneticPr fontId="1" type="noConversion"/>
  </si>
  <si>
    <t>SNR dB</t>
    <phoneticPr fontId="1" type="noConversion"/>
  </si>
  <si>
    <t>dB</t>
    <phoneticPr fontId="1" type="noConversion"/>
  </si>
  <si>
    <t>SNR bit</t>
    <phoneticPr fontId="1" type="noConversion"/>
  </si>
  <si>
    <t>Non-Whiteness factor F(dark)</t>
    <phoneticPr fontId="1" type="noConversion"/>
  </si>
  <si>
    <t>F</t>
    <phoneticPr fontId="1" type="noConversion"/>
  </si>
  <si>
    <t>-</t>
    <phoneticPr fontId="1" type="noConversion"/>
  </si>
  <si>
    <t>Non-Lineartity Error(0-100%)</t>
    <phoneticPr fontId="1" type="noConversion"/>
  </si>
  <si>
    <t>Saturation Capacity</t>
    <phoneticPr fontId="1" type="noConversion"/>
  </si>
  <si>
    <t>DR dB</t>
    <phoneticPr fontId="1" type="noConversion"/>
  </si>
  <si>
    <t>Item</t>
    <phoneticPr fontId="1" type="noConversion"/>
  </si>
  <si>
    <t>Unit</t>
    <phoneticPr fontId="1" type="noConversion"/>
  </si>
  <si>
    <t>Quantum efficiency</t>
    <phoneticPr fontId="1" type="noConversion"/>
  </si>
  <si>
    <t>K</t>
    <phoneticPr fontId="1" type="noConversion"/>
  </si>
  <si>
    <t>inch</t>
    <phoneticPr fontId="1" type="noConversion"/>
  </si>
  <si>
    <t>Pixel size</t>
    <phoneticPr fontId="1" type="noConversion"/>
  </si>
  <si>
    <t>Progressive Scan</t>
    <phoneticPr fontId="1" type="noConversion"/>
  </si>
  <si>
    <t>Resolution Y</t>
    <phoneticPr fontId="1" type="noConversion"/>
  </si>
  <si>
    <t>Readout Type</t>
    <phoneticPr fontId="1" type="noConversion"/>
  </si>
  <si>
    <t>Video Output format</t>
    <phoneticPr fontId="1" type="noConversion"/>
  </si>
  <si>
    <t>Offset value</t>
    <phoneticPr fontId="1" type="noConversion"/>
  </si>
  <si>
    <t>Measure Time</t>
    <phoneticPr fontId="1" type="noConversion"/>
  </si>
  <si>
    <t xml:space="preserve">
525
465/525/625
850</t>
    <phoneticPr fontId="1" type="noConversion"/>
  </si>
  <si>
    <t>Wavelength Variation</t>
    <phoneticPr fontId="1" type="noConversion"/>
  </si>
  <si>
    <t>mm</t>
    <phoneticPr fontId="1" type="noConversion"/>
  </si>
  <si>
    <t>Sensor Type</t>
    <phoneticPr fontId="1" type="noConversion"/>
  </si>
  <si>
    <t>Sensor diagonal</t>
    <phoneticPr fontId="1" type="noConversion"/>
  </si>
  <si>
    <t>Resolution X</t>
    <phoneticPr fontId="1" type="noConversion"/>
  </si>
  <si>
    <t>Transfer Type</t>
    <phoneticPr fontId="1" type="noConversion"/>
  </si>
  <si>
    <t>Maximum Readout Rate</t>
    <phoneticPr fontId="1" type="noConversion"/>
  </si>
  <si>
    <t>fps</t>
    <phoneticPr fontId="1" type="noConversion"/>
  </si>
  <si>
    <t>Interface Type</t>
    <phoneticPr fontId="1" type="noConversion"/>
  </si>
  <si>
    <t>DSNU1288</t>
    <phoneticPr fontId="1" type="noConversion"/>
  </si>
  <si>
    <t>Sd</t>
    <phoneticPr fontId="1" type="noConversion"/>
  </si>
  <si>
    <t>Sy.dark</t>
    <phoneticPr fontId="1" type="noConversion"/>
  </si>
  <si>
    <t>PRNU1288</t>
    <phoneticPr fontId="1" type="noConversion"/>
  </si>
  <si>
    <t>Sg</t>
    <phoneticPr fontId="1" type="noConversion"/>
  </si>
  <si>
    <t>μp.min</t>
    <phoneticPr fontId="1" type="noConversion"/>
  </si>
  <si>
    <t>μy.sat</t>
    <phoneticPr fontId="1" type="noConversion"/>
  </si>
  <si>
    <t>μe.sat</t>
    <phoneticPr fontId="1" type="noConversion"/>
  </si>
  <si>
    <t>σd</t>
    <phoneticPr fontId="1" type="noConversion"/>
  </si>
  <si>
    <t>σy.dark</t>
    <phoneticPr fontId="1" type="noConversion"/>
  </si>
  <si>
    <t>`</t>
    <phoneticPr fontId="1" type="noConversion"/>
  </si>
  <si>
    <t>Exp/
Light Level</t>
    <phoneticPr fontId="1" type="noConversion"/>
  </si>
  <si>
    <t>e-</t>
    <phoneticPr fontId="1" type="noConversion"/>
  </si>
  <si>
    <t>%</t>
    <phoneticPr fontId="1" type="noConversion"/>
  </si>
  <si>
    <t>Sy.dark^2</t>
    <phoneticPr fontId="1" type="noConversion"/>
  </si>
  <si>
    <t>Sy.50^2</t>
    <phoneticPr fontId="1" type="noConversion"/>
  </si>
  <si>
    <t>uy.50</t>
    <phoneticPr fontId="1" type="noConversion"/>
  </si>
  <si>
    <t>uy.dark</t>
    <phoneticPr fontId="1" type="noConversion"/>
  </si>
  <si>
    <t>System Gain HG</t>
    <phoneticPr fontId="1" type="noConversion"/>
  </si>
  <si>
    <t>System Gain LG</t>
    <phoneticPr fontId="1" type="noConversion"/>
  </si>
  <si>
    <t>LG HG Ratio</t>
    <phoneticPr fontId="1" type="noConversion"/>
  </si>
  <si>
    <t>Output Data</t>
    <phoneticPr fontId="1" type="noConversion"/>
  </si>
  <si>
    <t>ms</t>
    <phoneticPr fontId="1" type="noConversion"/>
  </si>
  <si>
    <t>Vieworks</t>
    <phoneticPr fontId="1" type="noConversion"/>
  </si>
  <si>
    <t>unit</t>
    <phoneticPr fontId="1" type="noConversion"/>
  </si>
  <si>
    <t>Exposure time</t>
    <phoneticPr fontId="1" type="noConversion"/>
  </si>
  <si>
    <t>MEASUREMENT SETUP</t>
    <phoneticPr fontId="1" type="noConversion"/>
  </si>
  <si>
    <t>Item</t>
    <phoneticPr fontId="1" type="noConversion"/>
  </si>
  <si>
    <t>Description</t>
    <phoneticPr fontId="1" type="noConversion"/>
  </si>
  <si>
    <t>50 nm</t>
    <phoneticPr fontId="1" type="noConversion"/>
  </si>
  <si>
    <t>Distance Sensor to 
Light source</t>
    <phoneticPr fontId="1" type="noConversion"/>
  </si>
  <si>
    <t>Diameter of 
the light souce</t>
    <phoneticPr fontId="1" type="noConversion"/>
  </si>
  <si>
    <t>SNR Db</t>
    <phoneticPr fontId="1" type="noConversion"/>
  </si>
  <si>
    <t>VP-151MX-M6</t>
    <phoneticPr fontId="1" type="noConversion"/>
  </si>
  <si>
    <t>VP-151MX</t>
    <phoneticPr fontId="1" type="noConversion"/>
  </si>
  <si>
    <t>Tap Geomerty</t>
    <phoneticPr fontId="1" type="noConversion"/>
  </si>
  <si>
    <t>1 TAP</t>
    <phoneticPr fontId="1" type="noConversion"/>
  </si>
  <si>
    <t>Sensor</t>
    <phoneticPr fontId="1" type="noConversion"/>
  </si>
  <si>
    <t>SONY 151MP</t>
    <phoneticPr fontId="1" type="noConversion"/>
  </si>
  <si>
    <t>CMOS</t>
    <phoneticPr fontId="1" type="noConversion"/>
  </si>
  <si>
    <t>Lens category</t>
    <phoneticPr fontId="1" type="noConversion"/>
  </si>
  <si>
    <t>um</t>
    <phoneticPr fontId="1" type="noConversion"/>
  </si>
  <si>
    <t>Rolling</t>
    <phoneticPr fontId="1" type="noConversion"/>
  </si>
  <si>
    <t>CXP</t>
    <phoneticPr fontId="1" type="noConversion"/>
  </si>
  <si>
    <t>14bit</t>
  </si>
  <si>
    <t>Dark Current Slope</t>
    <phoneticPr fontId="1" type="noConversion"/>
  </si>
  <si>
    <t>Dark Current</t>
    <phoneticPr fontId="1" type="noConversion"/>
  </si>
  <si>
    <t>DN/s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</si>
</sst>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_ "/>
    <numFmt numFmtId="178" formatCode="0.0_ "/>
    <numFmt numFmtId="179" formatCode="0.0_);[Red]\(0.0\)"/>
    <numFmt numFmtId="180" formatCode="0.00_);[Red]\(0.00\)"/>
    <numFmt numFmtId="181" formatCode="0.0000_);[Red]\(0.0000\)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name val="Times New Roman"/>
      <family val="1"/>
    </font>
    <font>
      <sz val="8"/>
      <name val="돋움"/>
      <family val="3"/>
      <charset val="129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b/>
      <sz val="1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12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176" fontId="5" fillId="5" borderId="1" xfId="0" applyNumberFormat="1" applyFont="1" applyFill="1" applyBorder="1">
      <alignment vertical="center"/>
    </xf>
    <xf numFmtId="0" fontId="5" fillId="5" borderId="1" xfId="0" applyFont="1" applyFill="1" applyBorder="1">
      <alignment vertical="center"/>
    </xf>
    <xf numFmtId="178" fontId="7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179" fontId="7" fillId="0" borderId="0" xfId="0" applyNumberFormat="1" applyFont="1">
      <alignment vertical="center"/>
    </xf>
    <xf numFmtId="180" fontId="6" fillId="0" borderId="1" xfId="1" applyNumberFormat="1" applyFont="1" applyBorder="1"/>
    <xf numFmtId="180" fontId="7" fillId="0" borderId="1" xfId="0" applyNumberFormat="1" applyFont="1" applyBorder="1">
      <alignment vertical="center"/>
    </xf>
    <xf numFmtId="180" fontId="7" fillId="0" borderId="0" xfId="0" applyNumberFormat="1" applyFont="1">
      <alignment vertical="center"/>
    </xf>
    <xf numFmtId="180" fontId="6" fillId="0" borderId="2" xfId="1" applyNumberFormat="1" applyFont="1" applyBorder="1"/>
    <xf numFmtId="176" fontId="7" fillId="10" borderId="1" xfId="0" applyNumberFormat="1" applyFont="1" applyFill="1" applyBorder="1">
      <alignment vertical="center"/>
    </xf>
    <xf numFmtId="178" fontId="7" fillId="10" borderId="1" xfId="0" applyNumberFormat="1" applyFont="1" applyFill="1" applyBorder="1">
      <alignment vertical="center"/>
    </xf>
    <xf numFmtId="179" fontId="7" fillId="10" borderId="1" xfId="0" applyNumberFormat="1" applyFont="1" applyFill="1" applyBorder="1">
      <alignment vertical="center"/>
    </xf>
    <xf numFmtId="176" fontId="9" fillId="6" borderId="1" xfId="0" applyNumberFormat="1" applyFont="1" applyFill="1" applyBorder="1" applyAlignment="1">
      <alignment horizontal="center" vertical="center" wrapText="1"/>
    </xf>
    <xf numFmtId="177" fontId="5" fillId="9" borderId="1" xfId="0" applyNumberFormat="1" applyFont="1" applyFill="1" applyBorder="1" applyAlignment="1">
      <alignment horizontal="center" vertical="center"/>
    </xf>
    <xf numFmtId="177" fontId="4" fillId="2" borderId="1" xfId="0" applyNumberFormat="1" applyFont="1" applyFill="1" applyBorder="1">
      <alignment vertical="center"/>
    </xf>
    <xf numFmtId="178" fontId="0" fillId="2" borderId="1" xfId="0" applyNumberFormat="1" applyFill="1" applyBorder="1">
      <alignment vertical="center"/>
    </xf>
    <xf numFmtId="177" fontId="7" fillId="10" borderId="1" xfId="0" applyNumberFormat="1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>
      <alignment vertical="center"/>
    </xf>
    <xf numFmtId="176" fontId="4" fillId="7" borderId="1" xfId="0" applyNumberFormat="1" applyFont="1" applyFill="1" applyBorder="1">
      <alignment vertical="center"/>
    </xf>
    <xf numFmtId="0" fontId="3" fillId="0" borderId="0" xfId="2"/>
    <xf numFmtId="0" fontId="10" fillId="0" borderId="0" xfId="2" applyFont="1"/>
    <xf numFmtId="0" fontId="3" fillId="12" borderId="0" xfId="2" applyFill="1"/>
    <xf numFmtId="0" fontId="11" fillId="0" borderId="0" xfId="2" applyFont="1" applyAlignment="1">
      <alignment horizontal="center"/>
    </xf>
    <xf numFmtId="0" fontId="13" fillId="0" borderId="0" xfId="0" applyFont="1">
      <alignment vertical="center"/>
    </xf>
    <xf numFmtId="0" fontId="13" fillId="5" borderId="1" xfId="0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13" fillId="0" borderId="1" xfId="0" applyNumberFormat="1" applyFont="1" applyBorder="1">
      <alignment vertical="center"/>
    </xf>
    <xf numFmtId="0" fontId="13" fillId="0" borderId="1" xfId="0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5" borderId="1" xfId="2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2" fillId="0" borderId="0" xfId="0" applyFont="1">
      <alignment vertical="center"/>
    </xf>
    <xf numFmtId="0" fontId="14" fillId="0" borderId="1" xfId="2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181" fontId="0" fillId="0" borderId="1" xfId="0" applyNumberFormat="1" applyBorder="1">
      <alignment vertical="center"/>
    </xf>
    <xf numFmtId="180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5" fillId="3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179" fontId="9" fillId="6" borderId="2" xfId="0" applyNumberFormat="1" applyFont="1" applyFill="1" applyBorder="1" applyAlignment="1">
      <alignment horizontal="center" vertical="center"/>
    </xf>
    <xf numFmtId="179" fontId="9" fillId="6" borderId="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3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0" fillId="0" borderId="1" xfId="0" applyBorder="1" applyAlignme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9" fillId="6" borderId="4" xfId="0" applyNumberFormat="1" applyFont="1" applyFill="1" applyBorder="1" applyAlignment="1">
      <alignment horizontal="center" vertical="center" wrapText="1"/>
    </xf>
    <xf numFmtId="176" fontId="9" fillId="6" borderId="5" xfId="0" applyNumberFormat="1" applyFont="1" applyFill="1" applyBorder="1" applyAlignment="1">
      <alignment horizontal="center" vertical="center" wrapText="1"/>
    </xf>
    <xf numFmtId="176" fontId="9" fillId="6" borderId="2" xfId="0" applyNumberFormat="1" applyFont="1" applyFill="1" applyBorder="1" applyAlignment="1">
      <alignment horizontal="center" vertical="center" wrapText="1"/>
    </xf>
    <xf numFmtId="176" fontId="9" fillId="6" borderId="9" xfId="0" applyNumberFormat="1" applyFont="1" applyFill="1" applyBorder="1" applyAlignment="1">
      <alignment horizontal="center" vertical="center" wrapText="1"/>
    </xf>
    <xf numFmtId="178" fontId="9" fillId="6" borderId="2" xfId="0" applyNumberFormat="1" applyFont="1" applyFill="1" applyBorder="1" applyAlignment="1">
      <alignment horizontal="center" vertical="center"/>
    </xf>
    <xf numFmtId="178" fontId="9" fillId="6" borderId="9" xfId="0" applyNumberFormat="1" applyFont="1" applyFill="1" applyBorder="1" applyAlignment="1">
      <alignment horizontal="center" vertical="center"/>
    </xf>
    <xf numFmtId="179" fontId="9" fillId="6" borderId="2" xfId="0" applyNumberFormat="1" applyFont="1" applyFill="1" applyBorder="1" applyAlignment="1">
      <alignment horizontal="center" vertical="center"/>
    </xf>
    <xf numFmtId="179" fontId="9" fillId="6" borderId="9" xfId="0" applyNumberFormat="1" applyFont="1" applyFill="1" applyBorder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/>
    </xf>
    <xf numFmtId="176" fontId="9" fillId="6" borderId="9" xfId="0" applyNumberFormat="1" applyFont="1" applyFill="1" applyBorder="1" applyAlignment="1">
      <alignment horizontal="center" vertical="center"/>
    </xf>
    <xf numFmtId="180" fontId="8" fillId="6" borderId="2" xfId="0" applyNumberFormat="1" applyFont="1" applyFill="1" applyBorder="1" applyAlignment="1">
      <alignment horizontal="center" vertical="center" wrapText="1"/>
    </xf>
    <xf numFmtId="180" fontId="8" fillId="6" borderId="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177" fontId="8" fillId="6" borderId="2" xfId="0" applyNumberFormat="1" applyFont="1" applyFill="1" applyBorder="1" applyAlignment="1">
      <alignment horizontal="center" vertical="center" wrapText="1"/>
    </xf>
    <xf numFmtId="177" fontId="8" fillId="6" borderId="9" xfId="0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4" fillId="5" borderId="1" xfId="2" applyFont="1" applyFill="1" applyBorder="1" applyAlignment="1">
      <alignment horizontal="center"/>
    </xf>
    <xf numFmtId="0" fontId="14" fillId="13" borderId="4" xfId="2" applyFont="1" applyFill="1" applyBorder="1" applyAlignment="1">
      <alignment horizontal="center" vertical="center"/>
    </xf>
    <xf numFmtId="0" fontId="14" fillId="13" borderId="5" xfId="2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13" borderId="12" xfId="2" applyFont="1" applyFill="1" applyBorder="1" applyAlignment="1">
      <alignment horizontal="center" vertical="center"/>
    </xf>
    <xf numFmtId="0" fontId="14" fillId="13" borderId="13" xfId="2" applyFont="1" applyFill="1" applyBorder="1" applyAlignment="1">
      <alignment horizontal="center" vertical="center"/>
    </xf>
    <xf numFmtId="0" fontId="14" fillId="13" borderId="7" xfId="2" applyFont="1" applyFill="1" applyBorder="1" applyAlignment="1">
      <alignment horizontal="center" vertical="center"/>
    </xf>
    <xf numFmtId="0" fontId="14" fillId="13" borderId="8" xfId="2" applyFont="1" applyFill="1" applyBorder="1" applyAlignment="1">
      <alignment horizontal="center" vertical="center"/>
    </xf>
    <xf numFmtId="0" fontId="14" fillId="13" borderId="1" xfId="2" applyFont="1" applyFill="1" applyBorder="1" applyAlignment="1">
      <alignment horizontal="center" vertical="center"/>
    </xf>
    <xf numFmtId="0" fontId="14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176" fontId="14" fillId="0" borderId="4" xfId="2" applyNumberFormat="1" applyFont="1" applyBorder="1" applyAlignment="1">
      <alignment horizontal="center" vertical="center"/>
    </xf>
    <xf numFmtId="176" fontId="14" fillId="0" borderId="5" xfId="2" applyNumberFormat="1" applyFont="1" applyBorder="1" applyAlignment="1">
      <alignment horizontal="center" vertical="center"/>
    </xf>
    <xf numFmtId="178" fontId="14" fillId="0" borderId="4" xfId="2" applyNumberFormat="1" applyFont="1" applyBorder="1" applyAlignment="1">
      <alignment horizontal="center" vertical="center"/>
    </xf>
    <xf numFmtId="178" fontId="14" fillId="0" borderId="5" xfId="2" applyNumberFormat="1" applyFont="1" applyBorder="1" applyAlignment="1">
      <alignment horizontal="center" vertical="center"/>
    </xf>
    <xf numFmtId="3" fontId="14" fillId="0" borderId="4" xfId="2" applyNumberFormat="1" applyFont="1" applyBorder="1" applyAlignment="1">
      <alignment horizontal="center" vertical="center" wrapText="1"/>
    </xf>
    <xf numFmtId="3" fontId="14" fillId="0" borderId="11" xfId="2" applyNumberFormat="1" applyFont="1" applyBorder="1" applyAlignment="1">
      <alignment horizontal="center" vertical="center" wrapText="1"/>
    </xf>
    <xf numFmtId="3" fontId="14" fillId="0" borderId="5" xfId="2" applyNumberFormat="1" applyFont="1" applyBorder="1" applyAlignment="1">
      <alignment horizontal="center" vertical="center"/>
    </xf>
    <xf numFmtId="0" fontId="14" fillId="0" borderId="11" xfId="2" applyFont="1" applyBorder="1" applyAlignment="1">
      <alignment horizontal="center" vertical="center"/>
    </xf>
    <xf numFmtId="22" fontId="14" fillId="0" borderId="4" xfId="2" applyNumberFormat="1" applyFont="1" applyBorder="1" applyAlignment="1">
      <alignment horizontal="center" vertical="center"/>
    </xf>
    <xf numFmtId="22" fontId="14" fillId="0" borderId="11" xfId="2" applyNumberFormat="1" applyFont="1" applyBorder="1" applyAlignment="1">
      <alignment horizontal="center" vertical="center"/>
    </xf>
    <xf numFmtId="0" fontId="14" fillId="13" borderId="4" xfId="2" applyFont="1" applyFill="1" applyBorder="1" applyAlignment="1">
      <alignment horizontal="center" vertical="center" wrapText="1"/>
    </xf>
    <xf numFmtId="0" fontId="15" fillId="7" borderId="4" xfId="2" applyFont="1" applyFill="1" applyBorder="1" applyAlignment="1">
      <alignment horizontal="center" vertical="center"/>
    </xf>
    <xf numFmtId="0" fontId="15" fillId="7" borderId="11" xfId="2" applyFont="1" applyFill="1" applyBorder="1" applyAlignment="1">
      <alignment horizontal="center" vertical="center"/>
    </xf>
    <xf numFmtId="0" fontId="15" fillId="7" borderId="5" xfId="2" applyFont="1" applyFill="1" applyBorder="1" applyAlignment="1">
      <alignment horizontal="center" vertical="center"/>
    </xf>
    <xf numFmtId="0" fontId="14" fillId="5" borderId="11" xfId="2" applyFont="1" applyFill="1" applyBorder="1" applyAlignment="1">
      <alignment horizontal="center" vertical="center"/>
    </xf>
  </cellXfs>
  <cellStyles count="3">
    <cellStyle name="표준" xfId="0" builtinId="0"/>
    <cellStyle name="표준 2 2" xfId="2" xr:uid="{00000000-0005-0000-0000-000001000000}"/>
    <cellStyle name="표준 3" xfId="1" xr:uid="{00000000-0005-0000-0000-000002000000}"/>
  </cellStyles>
  <dxfs count="0"/>
  <tableStyles count="0" defaultTableStyle="TableStyleMedium9" defaultPivotStyle="PivotStyleLight16"/>
  <colors>
    <mruColors>
      <color rgb="FFCCECFF"/>
      <color rgb="FF99CCFF"/>
      <color rgb="FF2B2B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SNR Logarithmic </a:t>
            </a:r>
            <a:endParaRPr lang="ko-KR" altLang="en-US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42412301308181782"/>
          <c:y val="3.54034719171718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48"/>
          <c:w val="0.80594427594515172"/>
          <c:h val="0.73991387212347004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9525">
              <a:solidFill>
                <a:schemeClr val="tx1"/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Data'!$M$5:$M$105</c:f>
              <c:numCache>
                <c:formatCode>0.0_);[Red]\(0.0\)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09-43D6-AE1D-A09BFF2CAC28}"/>
            </c:ext>
          </c:extLst>
        </c:ser>
        <c:ser>
          <c:idx val="2"/>
          <c:order val="1"/>
          <c:tx>
            <c:v>SNR 1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3.0948810769553508E-2"/>
                  <c:y val="-2.585771890339200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09-43D6-AE1D-A09BFF2CAC28}"/>
                </c:ext>
              </c:extLst>
            </c:dLbl>
            <c:numFmt formatCode="#,##0_);[Red]\(#,##0\)" sourceLinked="0"/>
            <c:spPr>
              <a:solidFill>
                <a:schemeClr val="bg1"/>
              </a:solidFill>
              <a:ln w="6350">
                <a:solidFill>
                  <a:sysClr val="windowText" lastClr="000000"/>
                </a:solidFill>
              </a:ln>
            </c:sp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Data'!$V$25</c:f>
              <c:numCache>
                <c:formatCode>0_ </c:formatCode>
                <c:ptCount val="1"/>
                <c:pt idx="0">
                  <c:v>0</c:v>
                </c:pt>
              </c:numCache>
            </c:numRef>
          </c:xVal>
          <c:yVal>
            <c:numRef>
              <c:f>'Linearity Data'!$W$25</c:f>
              <c:numCache>
                <c:formatCode>0_ 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09-43D6-AE1D-A09BFF2CAC28}"/>
            </c:ext>
          </c:extLst>
        </c:ser>
        <c:ser>
          <c:idx val="0"/>
          <c:order val="2"/>
          <c:tx>
            <c:v>Saturation</c:v>
          </c:tx>
          <c:spPr>
            <a:ln w="31750">
              <a:noFill/>
              <a:prstDash val="dash"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0"/>
                  <c:y val="-1.4371980813001416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09-43D6-AE1D-A09BFF2CAC28}"/>
                </c:ext>
              </c:extLst>
            </c:dLbl>
            <c:numFmt formatCode="#,##0_);[Red]\(#,##0\)" sourceLinked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</c:spPr>
            <c:txPr>
              <a:bodyPr rot="0" vert="horz" anchor="t" anchorCtr="0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Data'!$V$26</c:f>
              <c:numCache>
                <c:formatCode>0_ </c:formatCode>
                <c:ptCount val="1"/>
                <c:pt idx="0">
                  <c:v>0</c:v>
                </c:pt>
              </c:numCache>
            </c:numRef>
          </c:xVal>
          <c:yVal>
            <c:numRef>
              <c:f>'Linearity Data'!$W$26</c:f>
              <c:numCache>
                <c:formatCode>0_ 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509-43D6-AE1D-A09BFF2CAC28}"/>
            </c:ext>
          </c:extLst>
        </c:ser>
        <c:ser>
          <c:idx val="3"/>
          <c:order val="3"/>
          <c:tx>
            <c:v>theor.limit</c:v>
          </c:tx>
          <c:spPr>
            <a:ln w="31750">
              <a:solidFill>
                <a:srgbClr val="C00000"/>
              </a:solidFill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C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3509-43D6-AE1D-A09BFF2CAC28}"/>
              </c:ext>
            </c:extLst>
          </c:dPt>
          <c:xVal>
            <c:numRef>
              <c:f>'Linearity Data'!$V$27:$V$28</c:f>
              <c:numCache>
                <c:formatCode>0_ </c:formatCode>
                <c:ptCount val="2"/>
                <c:pt idx="0">
                  <c:v>1</c:v>
                </c:pt>
                <c:pt idx="1">
                  <c:v>1000000</c:v>
                </c:pt>
              </c:numCache>
            </c:numRef>
          </c:xVal>
          <c:yVal>
            <c:numRef>
              <c:f>'Linearity Data'!$W$27:$W$28</c:f>
              <c:numCache>
                <c:formatCode>0_ </c:formatCode>
                <c:ptCount val="2"/>
                <c:pt idx="0">
                  <c:v>1</c:v>
                </c:pt>
                <c:pt idx="1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509-43D6-AE1D-A09BFF2CA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64920"/>
        <c:axId val="217565312"/>
      </c:scatterChart>
      <c:valAx>
        <c:axId val="217564920"/>
        <c:scaling>
          <c:logBase val="10"/>
          <c:orientation val="minMax"/>
          <c:max val="200000"/>
          <c:min val="1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0_ " sourceLinked="0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65312"/>
        <c:crossesAt val="0"/>
        <c:crossBetween val="midCat"/>
        <c:majorUnit val="10"/>
        <c:minorUnit val="10"/>
      </c:valAx>
      <c:valAx>
        <c:axId val="217565312"/>
        <c:scaling>
          <c:logBase val="10"/>
          <c:orientation val="minMax"/>
          <c:max val="500"/>
          <c:min val="1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/>
                  <a:t>SNR(Signal to Noise</a:t>
                </a:r>
                <a:r>
                  <a:rPr lang="en-US" altLang="ko-KR" sz="1400" baseline="0"/>
                  <a:t> Ratio)</a:t>
                </a:r>
                <a:endParaRPr lang="en-US" altLang="ko-KR" baseline="0"/>
              </a:p>
            </c:rich>
          </c:tx>
          <c:layout>
            <c:manualLayout>
              <c:xMode val="edge"/>
              <c:yMode val="edge"/>
              <c:x val="2.5069527683006416E-2"/>
              <c:y val="0.30640896223691688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64920"/>
        <c:crosses val="autoZero"/>
        <c:crossBetween val="midCat"/>
        <c:majorUnit val="10"/>
        <c:minorUnit val="5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37"/>
          <c:w val="0.19855579890983757"/>
          <c:h val="0.1335952654433149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655" l="0.70000000000000062" r="0.70000000000000062" t="0.75000000000000655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PTC(Photon Transfer</a:t>
            </a:r>
            <a:r>
              <a:rPr lang="en-US" altLang="ko-KR" baseline="0">
                <a:solidFill>
                  <a:schemeClr val="tx2">
                    <a:lumMod val="75000"/>
                  </a:schemeClr>
                </a:solidFill>
              </a:rPr>
              <a:t> Curve)</a:t>
            </a:r>
          </a:p>
        </c:rich>
      </c:tx>
      <c:layout>
        <c:manualLayout>
          <c:xMode val="edge"/>
          <c:yMode val="edge"/>
          <c:x val="0.35427427892399482"/>
          <c:y val="2.86252920381642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62"/>
          <c:w val="0.8094064602950175"/>
          <c:h val="0.73991387212347104"/>
        </c:manualLayout>
      </c:layout>
      <c:scatterChart>
        <c:scatterStyle val="smoothMarker"/>
        <c:varyColors val="0"/>
        <c:ser>
          <c:idx val="3"/>
          <c:order val="0"/>
          <c:tx>
            <c:v>fit</c:v>
          </c:tx>
          <c:spPr>
            <a:ln w="158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'Linearity Data'!$V$39:$V$40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xVal>
          <c:yVal>
            <c:numRef>
              <c:f>'Linearity Data'!$W$39:$W$40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D1-49C4-B3FE-D0D64ED322FA}"/>
            </c:ext>
          </c:extLst>
        </c:ser>
        <c:ser>
          <c:idx val="2"/>
          <c:order val="1"/>
          <c:tx>
            <c:v>saturation</c:v>
          </c:tx>
          <c:spPr>
            <a:ln w="25400">
              <a:solidFill>
                <a:srgbClr val="2B2BFF"/>
              </a:solidFill>
              <a:prstDash val="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9871743666144097E-2"/>
                  <c:y val="0.56746525981998441"/>
                </c:manualLayout>
              </c:layout>
              <c:tx>
                <c:rich>
                  <a:bodyPr/>
                  <a:lstStyle/>
                  <a:p>
                    <a:r>
                      <a:rPr lang="en-US" altLang="en-US" sz="1200">
                        <a:solidFill>
                          <a:srgbClr val="2B2BFF"/>
                        </a:solidFill>
                        <a:latin typeface="+mj-ea"/>
                        <a:ea typeface="+mj-ea"/>
                      </a:rPr>
                      <a:t>saturation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6D1-49C4-B3FE-D0D64ED322F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Data'!$V$41:$V$42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'Linearity Data'!$W$41:$W$42</c:f>
              <c:numCache>
                <c:formatCode>General</c:formatCode>
                <c:ptCount val="2"/>
                <c:pt idx="0">
                  <c:v>0</c:v>
                </c:pt>
                <c:pt idx="1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D1-49C4-B3FE-D0D64ED322FA}"/>
            </c:ext>
          </c:extLst>
        </c:ser>
        <c:ser>
          <c:idx val="1"/>
          <c:order val="2"/>
          <c:tx>
            <c:v>data</c:v>
          </c:tx>
          <c:spPr>
            <a:ln w="9525">
              <a:solidFill>
                <a:schemeClr val="tx1"/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Data'!$B$5:$B$105</c:f>
              <c:numCache>
                <c:formatCode>General</c:formatCode>
                <c:ptCount val="101"/>
              </c:numCache>
            </c:numRef>
          </c:xVal>
          <c:yVal>
            <c:numRef>
              <c:f>'Linearity Data'!$I$5:$I$105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D1-49C4-B3FE-D0D64ED32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66096"/>
        <c:axId val="217566488"/>
      </c:scatterChart>
      <c:valAx>
        <c:axId val="217566096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66488"/>
        <c:crossesAt val="0"/>
        <c:crossBetween val="midCat"/>
      </c:valAx>
      <c:valAx>
        <c:axId val="217566488"/>
        <c:scaling>
          <c:orientation val="minMax"/>
          <c:min val="0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n-lt"/>
                    <a:ea typeface="+mj-ea"/>
                  </a:rPr>
                  <a:t>variance gray value (DN^2)</a:t>
                </a:r>
                <a:endParaRPr lang="en-US" altLang="ko-KR" baseline="0">
                  <a:latin typeface="+mn-lt"/>
                  <a:ea typeface="+mj-ea"/>
                </a:endParaRPr>
              </a:p>
            </c:rich>
          </c:tx>
          <c:layout>
            <c:manualLayout>
              <c:xMode val="edge"/>
              <c:yMode val="edge"/>
              <c:x val="1.5833597199954561E-2"/>
              <c:y val="0.23003753808981034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66096"/>
        <c:crossesAt val="0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51"/>
          <c:w val="0.16808222727967267"/>
          <c:h val="0.1107790884267310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699" l="0.70000000000000062" r="0.70000000000000062" t="0.75000000000000699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Deviation linearity</a:t>
            </a:r>
          </a:p>
        </c:rich>
      </c:tx>
      <c:layout>
        <c:manualLayout>
          <c:xMode val="edge"/>
          <c:yMode val="edge"/>
          <c:x val="0.39470295620349188"/>
          <c:y val="2.61567478494456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95"/>
          <c:w val="0.8170349636106673"/>
          <c:h val="0.76460027178090761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9525">
              <a:solidFill>
                <a:sysClr val="windowText" lastClr="000000">
                  <a:alpha val="50000"/>
                </a:sysClr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Data'!$R$5:$R$105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6F-4FA3-BF70-8F7ABC10D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67272"/>
        <c:axId val="217567664"/>
      </c:scatterChart>
      <c:valAx>
        <c:axId val="217567272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0.0_ 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67664"/>
        <c:crosses val="autoZero"/>
        <c:crossBetween val="midCat"/>
      </c:valAx>
      <c:valAx>
        <c:axId val="217567664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n-lt"/>
                    <a:ea typeface="+mj-ea"/>
                  </a:rPr>
                  <a:t>Linearity</a:t>
                </a:r>
                <a:r>
                  <a:rPr lang="en-US" altLang="ko-KR" sz="1400" baseline="0">
                    <a:latin typeface="+mn-lt"/>
                    <a:ea typeface="+mj-ea"/>
                  </a:rPr>
                  <a:t> error LE(%)</a:t>
                </a:r>
                <a:endParaRPr lang="en-US" altLang="ko-KR" sz="1400">
                  <a:latin typeface="+mn-lt"/>
                  <a:ea typeface="+mj-ea"/>
                </a:endParaRPr>
              </a:p>
            </c:rich>
          </c:tx>
          <c:layout>
            <c:manualLayout>
              <c:xMode val="edge"/>
              <c:yMode val="edge"/>
              <c:x val="2.322235849881488E-2"/>
              <c:y val="0.31473382759442808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67272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79"/>
          <c:w val="0.16808222727967267"/>
          <c:h val="5.8646314216880442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>
      <c:oddFooter>&amp;L━━━━━━━━━━━━━━━━━━━━━━━━━━━━━━━━━━━━━━━━━━━
&amp;C&amp;"Verdana,보통"&amp;10 &amp;P/2&amp;R&amp;"Verdana,보통"&amp;10Vieworks Co.,Ltd</c:oddFooter>
    </c:headerFooter>
    <c:pageMargins b="0.7500000000000081" l="0.70000000000000062" r="0.70000000000000062" t="0.7500000000000081" header="0.30000000000000032" footer="0.30000000000000032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Sensitivity </a:t>
            </a:r>
            <a:r>
              <a:rPr lang="en-US" altLang="ko-KR" baseline="0">
                <a:solidFill>
                  <a:schemeClr val="tx2">
                    <a:lumMod val="75000"/>
                  </a:schemeClr>
                </a:solidFill>
              </a:rPr>
              <a:t>(</a:t>
            </a: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Linearity)</a:t>
            </a:r>
          </a:p>
        </c:rich>
      </c:tx>
      <c:layout>
        <c:manualLayout>
          <c:xMode val="edge"/>
          <c:yMode val="edge"/>
          <c:x val="0.38309950748646682"/>
          <c:y val="4.15628419714100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87"/>
          <c:w val="0.79925726042867662"/>
          <c:h val="0.7399138721234727"/>
        </c:manualLayout>
      </c:layout>
      <c:scatterChart>
        <c:scatterStyle val="smoothMarker"/>
        <c:varyColors val="0"/>
        <c:ser>
          <c:idx val="3"/>
          <c:order val="0"/>
          <c:tx>
            <c:v>fit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dPt>
            <c:idx val="1"/>
            <c:bubble3D val="0"/>
            <c:spPr>
              <a:ln w="15875">
                <a:solidFill>
                  <a:srgbClr val="C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4C4-4AAE-8107-F0B26F27F72D}"/>
              </c:ext>
            </c:extLst>
          </c:dPt>
          <c:xVal>
            <c:numRef>
              <c:f>'Linearity Data'!$V$75:$V$76</c:f>
              <c:numCache>
                <c:formatCode>0.0_ 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'Linearity Data'!$W$75:$W$76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C4-4AAE-8107-F0B26F27F72D}"/>
            </c:ext>
          </c:extLst>
        </c:ser>
        <c:ser>
          <c:idx val="1"/>
          <c:order val="1"/>
          <c:tx>
            <c:v>Data</c:v>
          </c:tx>
          <c:spPr>
            <a:ln w="15875">
              <a:noFill/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Data'!$F$5:$F$105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C4-4AAE-8107-F0B26F27F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70016"/>
        <c:axId val="217570408"/>
      </c:scatterChart>
      <c:valAx>
        <c:axId val="217570016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70408"/>
        <c:crossesAt val="0"/>
        <c:crossBetween val="midCat"/>
      </c:valAx>
      <c:valAx>
        <c:axId val="217570408"/>
        <c:scaling>
          <c:orientation val="minMax"/>
          <c:min val="0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n-lt"/>
                    <a:ea typeface="+mj-ea"/>
                  </a:rPr>
                  <a:t>gray value-dark value(DN)</a:t>
                </a:r>
              </a:p>
            </c:rich>
          </c:tx>
          <c:layout>
            <c:manualLayout>
              <c:xMode val="edge"/>
              <c:yMode val="edge"/>
              <c:x val="2.3222350123125481E-2"/>
              <c:y val="0.35058560818590218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70016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73"/>
          <c:w val="0.18308947107921344"/>
          <c:h val="7.7499486228504513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788" l="0.70000000000000062" r="0.70000000000000062" t="0.75000000000000788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SNR Logarithmic </a:t>
            </a:r>
            <a:endParaRPr lang="ko-KR" altLang="en-US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42412301308181782"/>
          <c:y val="3.54034719171718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43"/>
          <c:w val="0.79925726042867662"/>
          <c:h val="0.73991387212346982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5875">
              <a:solidFill>
                <a:schemeClr val="tx1"/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Data'!$M$5:$M$105</c:f>
              <c:numCache>
                <c:formatCode>0.0_);[Red]\(0.0\)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9-4CB3-8BF0-1689113CB619}"/>
            </c:ext>
          </c:extLst>
        </c:ser>
        <c:ser>
          <c:idx val="2"/>
          <c:order val="1"/>
          <c:tx>
            <c:v>SNR 1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3.0948810769553494E-2"/>
                  <c:y val="-2.585771890339200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E9-4CB3-8BF0-1689113CB619}"/>
                </c:ext>
              </c:extLst>
            </c:dLbl>
            <c:numFmt formatCode="#,##0_);[Red]\(#,##0\)" sourceLinked="0"/>
            <c:spPr>
              <a:solidFill>
                <a:schemeClr val="bg1"/>
              </a:solidFill>
              <a:ln w="6350">
                <a:solidFill>
                  <a:sysClr val="windowText" lastClr="000000"/>
                </a:solidFill>
              </a:ln>
            </c:sp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Data'!$V$25</c:f>
              <c:numCache>
                <c:formatCode>0_ </c:formatCode>
                <c:ptCount val="1"/>
                <c:pt idx="0">
                  <c:v>0</c:v>
                </c:pt>
              </c:numCache>
            </c:numRef>
          </c:xVal>
          <c:yVal>
            <c:numRef>
              <c:f>'Linearity Data'!$W$25</c:f>
              <c:numCache>
                <c:formatCode>0_ 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E9-4CB3-8BF0-1689113CB619}"/>
            </c:ext>
          </c:extLst>
        </c:ser>
        <c:ser>
          <c:idx val="0"/>
          <c:order val="2"/>
          <c:tx>
            <c:v>Saturation</c:v>
          </c:tx>
          <c:spPr>
            <a:ln w="31750">
              <a:noFill/>
              <a:prstDash val="dash"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0"/>
                  <c:y val="-1.4371980813001416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E9-4CB3-8BF0-1689113CB619}"/>
                </c:ext>
              </c:extLst>
            </c:dLbl>
            <c:numFmt formatCode="#,##0_);[Red]\(#,##0\)" sourceLinked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</c:spPr>
            <c:txPr>
              <a:bodyPr rot="0" vert="horz" anchor="t" anchorCtr="0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Data'!$V$26</c:f>
              <c:numCache>
                <c:formatCode>0_ </c:formatCode>
                <c:ptCount val="1"/>
                <c:pt idx="0">
                  <c:v>0</c:v>
                </c:pt>
              </c:numCache>
            </c:numRef>
          </c:xVal>
          <c:yVal>
            <c:numRef>
              <c:f>'Linearity Data'!$W$26</c:f>
              <c:numCache>
                <c:formatCode>0_ 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E9-4CB3-8BF0-1689113CB619}"/>
            </c:ext>
          </c:extLst>
        </c:ser>
        <c:ser>
          <c:idx val="3"/>
          <c:order val="3"/>
          <c:tx>
            <c:v>theor.limit</c:v>
          </c:tx>
          <c:spPr>
            <a:ln w="317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'Linearity Data'!$V$27:$V$28</c:f>
              <c:numCache>
                <c:formatCode>0_ </c:formatCode>
                <c:ptCount val="2"/>
                <c:pt idx="0">
                  <c:v>1</c:v>
                </c:pt>
                <c:pt idx="1">
                  <c:v>1000000</c:v>
                </c:pt>
              </c:numCache>
            </c:numRef>
          </c:xVal>
          <c:yVal>
            <c:numRef>
              <c:f>'Linearity Data'!$W$27:$W$28</c:f>
              <c:numCache>
                <c:formatCode>0_ </c:formatCode>
                <c:ptCount val="2"/>
                <c:pt idx="0">
                  <c:v>1</c:v>
                </c:pt>
                <c:pt idx="1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E9-4CB3-8BF0-1689113CB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71192"/>
        <c:axId val="217571584"/>
      </c:scatterChart>
      <c:valAx>
        <c:axId val="217571192"/>
        <c:scaling>
          <c:logBase val="10"/>
          <c:orientation val="minMax"/>
          <c:max val="200000"/>
          <c:min val="1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0_ " sourceLinked="0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71584"/>
        <c:crossesAt val="0"/>
        <c:crossBetween val="midCat"/>
        <c:majorUnit val="10"/>
        <c:minorUnit val="10"/>
      </c:valAx>
      <c:valAx>
        <c:axId val="217571584"/>
        <c:scaling>
          <c:logBase val="10"/>
          <c:orientation val="minMax"/>
          <c:max val="500"/>
          <c:min val="1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/>
                  <a:t>SNR(Signal to Noise</a:t>
                </a:r>
                <a:r>
                  <a:rPr lang="en-US" altLang="ko-KR" sz="1400" baseline="0"/>
                  <a:t> Ratio)</a:t>
                </a:r>
                <a:endParaRPr lang="en-US" altLang="ko-KR" baseline="0"/>
              </a:p>
            </c:rich>
          </c:tx>
          <c:layout>
            <c:manualLayout>
              <c:xMode val="edge"/>
              <c:yMode val="edge"/>
              <c:x val="2.3222350123125481E-2"/>
              <c:y val="0.35058560818590145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71192"/>
        <c:crosses val="autoZero"/>
        <c:crossBetween val="midCat"/>
        <c:majorUnit val="10"/>
        <c:minorUnit val="5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31"/>
          <c:w val="0.12945747672854488"/>
          <c:h val="0.1335952654433149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633" l="0.70000000000000062" r="0.70000000000000062" t="0.75000000000000633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PTC(Photon Transfer</a:t>
            </a:r>
            <a:r>
              <a:rPr lang="en-US" altLang="ko-KR" baseline="0">
                <a:solidFill>
                  <a:schemeClr val="tx2">
                    <a:lumMod val="75000"/>
                  </a:schemeClr>
                </a:solidFill>
              </a:rPr>
              <a:t> Curve)</a:t>
            </a:r>
          </a:p>
        </c:rich>
      </c:tx>
      <c:layout>
        <c:manualLayout>
          <c:xMode val="edge"/>
          <c:yMode val="edge"/>
          <c:x val="0.35427427892399482"/>
          <c:y val="2.86252920381642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54"/>
          <c:w val="0.79925726042867662"/>
          <c:h val="0.7399138721234706"/>
        </c:manualLayout>
      </c:layout>
      <c:scatterChart>
        <c:scatterStyle val="smoothMarker"/>
        <c:varyColors val="0"/>
        <c:ser>
          <c:idx val="3"/>
          <c:order val="0"/>
          <c:tx>
            <c:v>fit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'Linearity Data'!$V$39:$V$40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xVal>
          <c:yVal>
            <c:numRef>
              <c:f>'Linearity Data'!$W$39:$W$40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EB-4CCC-A37B-4905CD1C747E}"/>
            </c:ext>
          </c:extLst>
        </c:ser>
        <c:ser>
          <c:idx val="2"/>
          <c:order val="1"/>
          <c:tx>
            <c:v>saturation</c:v>
          </c:tx>
          <c:spPr>
            <a:ln w="25400">
              <a:solidFill>
                <a:srgbClr val="2B2BFF"/>
              </a:solidFill>
              <a:prstDash val="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7293005263480082E-2"/>
                  <c:y val="0.57683953612566485"/>
                </c:manualLayout>
              </c:layout>
              <c:tx>
                <c:rich>
                  <a:bodyPr/>
                  <a:lstStyle/>
                  <a:p>
                    <a:r>
                      <a:rPr lang="en-US" altLang="en-US" sz="1200">
                        <a:solidFill>
                          <a:srgbClr val="2B2BFF"/>
                        </a:solidFill>
                        <a:latin typeface="+mj-ea"/>
                        <a:ea typeface="+mj-ea"/>
                      </a:rPr>
                      <a:t>saturation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AEB-4CCC-A37B-4905CD1C747E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Data'!$V$41:$V$42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'Linearity Data'!$W$41:$W$42</c:f>
              <c:numCache>
                <c:formatCode>General</c:formatCode>
                <c:ptCount val="2"/>
                <c:pt idx="0">
                  <c:v>0</c:v>
                </c:pt>
                <c:pt idx="1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EB-4CCC-A37B-4905CD1C747E}"/>
            </c:ext>
          </c:extLst>
        </c:ser>
        <c:ser>
          <c:idx val="1"/>
          <c:order val="2"/>
          <c:tx>
            <c:v>data</c:v>
          </c:tx>
          <c:spPr>
            <a:ln w="15875">
              <a:solidFill>
                <a:schemeClr val="tx1"/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Data'!$B$5:$B$105</c:f>
              <c:numCache>
                <c:formatCode>General</c:formatCode>
                <c:ptCount val="101"/>
              </c:numCache>
            </c:numRef>
          </c:xVal>
          <c:yVal>
            <c:numRef>
              <c:f>'Linearity Data'!$I$5:$I$105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AEB-4CCC-A37B-4905CD1C7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72760"/>
        <c:axId val="217573152"/>
      </c:scatterChart>
      <c:valAx>
        <c:axId val="217572760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73152"/>
        <c:crossesAt val="0"/>
        <c:crossBetween val="midCat"/>
      </c:valAx>
      <c:valAx>
        <c:axId val="217573152"/>
        <c:scaling>
          <c:orientation val="minMax"/>
          <c:min val="0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variance gray value (DN^2)</a:t>
                </a:r>
                <a:endParaRPr lang="en-US" altLang="ko-KR" baseline="0">
                  <a:latin typeface="+mj-ea"/>
                  <a:ea typeface="+mj-ea"/>
                </a:endParaRPr>
              </a:p>
            </c:rich>
          </c:tx>
          <c:layout>
            <c:manualLayout>
              <c:xMode val="edge"/>
              <c:yMode val="edge"/>
              <c:x val="2.3222350123125481E-2"/>
              <c:y val="0.35058560818590168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72760"/>
        <c:crossesAt val="0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45"/>
          <c:w val="0.16808222727967267"/>
          <c:h val="6.0782963732268533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677" l="0.70000000000000062" r="0.70000000000000062" t="0.75000000000000677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Sensitivity </a:t>
            </a:r>
            <a:r>
              <a:rPr lang="en-US" altLang="ko-KR" baseline="0">
                <a:solidFill>
                  <a:schemeClr val="tx2">
                    <a:lumMod val="75000"/>
                  </a:schemeClr>
                </a:solidFill>
              </a:rPr>
              <a:t>(</a:t>
            </a: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Linearity)</a:t>
            </a:r>
          </a:p>
        </c:rich>
      </c:tx>
      <c:layout>
        <c:manualLayout>
          <c:xMode val="edge"/>
          <c:yMode val="edge"/>
          <c:x val="0.38309950748646682"/>
          <c:y val="4.15628419714100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79"/>
          <c:w val="0.79925726042867662"/>
          <c:h val="0.73991387212347215"/>
        </c:manualLayout>
      </c:layout>
      <c:scatterChart>
        <c:scatterStyle val="smoothMarker"/>
        <c:varyColors val="0"/>
        <c:ser>
          <c:idx val="3"/>
          <c:order val="0"/>
          <c:tx>
            <c:v>fit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'Linearity Data'!$V$75:$V$76</c:f>
              <c:numCache>
                <c:formatCode>0.0_ 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'Linearity Data'!$W$75:$W$76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A5-411B-8D79-8A24CC2113F5}"/>
            </c:ext>
          </c:extLst>
        </c:ser>
        <c:ser>
          <c:idx val="1"/>
          <c:order val="1"/>
          <c:tx>
            <c:v>Data</c:v>
          </c:tx>
          <c:spPr>
            <a:ln w="15875">
              <a:noFill/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Data'!$F$5:$F$105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A5-411B-8D79-8A24CC211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72368"/>
        <c:axId val="217569624"/>
      </c:scatterChart>
      <c:valAx>
        <c:axId val="217572368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69624"/>
        <c:crossesAt val="0"/>
        <c:crossBetween val="midCat"/>
      </c:valAx>
      <c:valAx>
        <c:axId val="217569624"/>
        <c:scaling>
          <c:orientation val="minMax"/>
          <c:min val="0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gray value-dark value(DN)</a:t>
                </a:r>
              </a:p>
            </c:rich>
          </c:tx>
          <c:layout>
            <c:manualLayout>
              <c:xMode val="edge"/>
              <c:yMode val="edge"/>
              <c:x val="2.3222350123125481E-2"/>
              <c:y val="0.35058560818590206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72368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62"/>
          <c:w val="0.16808222727967267"/>
          <c:h val="7.7499486228504513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766" l="0.70000000000000062" r="0.70000000000000062" t="0.75000000000000766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Deviation linearity</a:t>
            </a:r>
          </a:p>
        </c:rich>
      </c:tx>
      <c:layout>
        <c:manualLayout>
          <c:xMode val="edge"/>
          <c:yMode val="edge"/>
          <c:x val="0.39248070429065368"/>
          <c:y val="4.15628475823887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87"/>
          <c:w val="0.79925726042867662"/>
          <c:h val="0.76460027178090761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5875">
              <a:solidFill>
                <a:sysClr val="windowText" lastClr="000000">
                  <a:alpha val="50000"/>
                </a:sysClr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Data'!$R$5:$R$105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CA-4D92-B98F-1451049CB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68840"/>
        <c:axId val="217568448"/>
      </c:scatterChart>
      <c:valAx>
        <c:axId val="217568840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0.0_ 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68448"/>
        <c:crosses val="autoZero"/>
        <c:crossBetween val="midCat"/>
      </c:valAx>
      <c:valAx>
        <c:axId val="217568448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Linearity</a:t>
                </a:r>
                <a:r>
                  <a:rPr lang="en-US" altLang="ko-KR" sz="1400" baseline="0">
                    <a:latin typeface="+mj-ea"/>
                    <a:ea typeface="+mj-ea"/>
                  </a:rPr>
                  <a:t> error LE(%)</a:t>
                </a:r>
                <a:endParaRPr lang="en-US" altLang="ko-KR" sz="1400">
                  <a:latin typeface="+mj-ea"/>
                  <a:ea typeface="+mj-ea"/>
                </a:endParaRPr>
              </a:p>
            </c:rich>
          </c:tx>
          <c:layout>
            <c:manualLayout>
              <c:xMode val="edge"/>
              <c:yMode val="edge"/>
              <c:x val="2.3222350123125481E-2"/>
              <c:y val="0.35058560818590218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68840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73"/>
          <c:w val="0.16808222727967267"/>
          <c:h val="5.8646314216880442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788" l="0.70000000000000062" r="0.70000000000000062" t="0.75000000000000788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'Linearity Data'!$O$5:$O$23</c:f>
              <c:numCache>
                <c:formatCode>0.0_);[Red]\(0.0\)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1-4CEC-B63F-E56C1E047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574328"/>
        <c:axId val="217574720"/>
      </c:lineChart>
      <c:catAx>
        <c:axId val="217574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7574720"/>
        <c:crosses val="autoZero"/>
        <c:auto val="1"/>
        <c:lblAlgn val="ctr"/>
        <c:lblOffset val="100"/>
        <c:noMultiLvlLbl val="0"/>
      </c:catAx>
      <c:valAx>
        <c:axId val="217574720"/>
        <c:scaling>
          <c:orientation val="minMax"/>
        </c:scaling>
        <c:delete val="0"/>
        <c:axPos val="l"/>
        <c:majorGridlines/>
        <c:numFmt formatCode="0.0_);[Red]\(0.0\)" sourceLinked="1"/>
        <c:majorTickMark val="out"/>
        <c:minorTickMark val="none"/>
        <c:tickLblPos val="nextTo"/>
        <c:crossAx val="217574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'Linearity Data'!$P$5:$P$23</c:f>
              <c:numCache>
                <c:formatCode>0.0_);[Red]\(0.0\)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6-4A4A-8E82-A41408CE8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575504"/>
        <c:axId val="217575896"/>
      </c:lineChart>
      <c:catAx>
        <c:axId val="21757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7575896"/>
        <c:crosses val="autoZero"/>
        <c:auto val="1"/>
        <c:lblAlgn val="ctr"/>
        <c:lblOffset val="100"/>
        <c:noMultiLvlLbl val="0"/>
      </c:catAx>
      <c:valAx>
        <c:axId val="217575896"/>
        <c:scaling>
          <c:orientation val="minMax"/>
        </c:scaling>
        <c:delete val="0"/>
        <c:axPos val="l"/>
        <c:majorGridlines/>
        <c:numFmt formatCode="0.0_);[Red]\(0.0\)" sourceLinked="1"/>
        <c:majorTickMark val="out"/>
        <c:minorTickMark val="none"/>
        <c:tickLblPos val="nextTo"/>
        <c:crossAx val="217575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SNR Logarithmic </a:t>
            </a:r>
            <a:endParaRPr lang="ko-KR" altLang="en-US">
              <a:solidFill>
                <a:schemeClr val="tx2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42412301308181782"/>
          <c:y val="3.54034719171718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43"/>
          <c:w val="0.79925726042867662"/>
          <c:h val="0.73991387212346982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5875">
              <a:solidFill>
                <a:schemeClr val="tx1"/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Data(Exposure)'!$M$5:$M$105</c:f>
              <c:numCache>
                <c:formatCode>0.0_);[Red]\(0.0\)</c:formatCode>
                <c:ptCount val="1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9C-48DC-B6A9-6F6961F89C20}"/>
            </c:ext>
          </c:extLst>
        </c:ser>
        <c:ser>
          <c:idx val="2"/>
          <c:order val="1"/>
          <c:tx>
            <c:v>SNR 1</c:v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0"/>
              <c:layout>
                <c:manualLayout>
                  <c:x val="3.0948810769553494E-2"/>
                  <c:y val="-2.5857718903392002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9C-48DC-B6A9-6F6961F89C20}"/>
                </c:ext>
              </c:extLst>
            </c:dLbl>
            <c:numFmt formatCode="#,##0_);[Red]\(#,##0\)" sourceLinked="0"/>
            <c:spPr>
              <a:solidFill>
                <a:schemeClr val="bg1"/>
              </a:solidFill>
              <a:ln w="6350">
                <a:solidFill>
                  <a:sysClr val="windowText" lastClr="000000"/>
                </a:solidFill>
              </a:ln>
            </c:sp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Data(Exposure)'!$V$25</c:f>
              <c:numCache>
                <c:formatCode>0_ </c:formatCode>
                <c:ptCount val="1"/>
                <c:pt idx="0">
                  <c:v>0</c:v>
                </c:pt>
              </c:numCache>
            </c:numRef>
          </c:xVal>
          <c:yVal>
            <c:numRef>
              <c:f>'Linearity Data(Exposure)'!$W$25</c:f>
              <c:numCache>
                <c:formatCode>0_ 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9C-48DC-B6A9-6F6961F89C20}"/>
            </c:ext>
          </c:extLst>
        </c:ser>
        <c:ser>
          <c:idx val="0"/>
          <c:order val="2"/>
          <c:tx>
            <c:v>Saturation</c:v>
          </c:tx>
          <c:spPr>
            <a:ln w="31750">
              <a:noFill/>
              <a:prstDash val="dash"/>
            </a:ln>
          </c:spPr>
          <c:marker>
            <c:symbol val="diamond"/>
            <c:size val="5"/>
            <c:spPr>
              <a:solidFill>
                <a:schemeClr val="tx1"/>
              </a:solidFill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layout>
                <c:manualLayout>
                  <c:x val="0"/>
                  <c:y val="-1.4371980813001416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9C-48DC-B6A9-6F6961F89C20}"/>
                </c:ext>
              </c:extLst>
            </c:dLbl>
            <c:numFmt formatCode="#,##0_);[Red]\(#,##0\)" sourceLinked="0"/>
            <c:spPr>
              <a:solidFill>
                <a:schemeClr val="bg1"/>
              </a:solidFill>
              <a:ln w="6350">
                <a:solidFill>
                  <a:schemeClr val="tx1"/>
                </a:solidFill>
              </a:ln>
            </c:spPr>
            <c:txPr>
              <a:bodyPr rot="0" vert="horz" anchor="t" anchorCtr="0"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Data(Exposure)'!$V$26</c:f>
              <c:numCache>
                <c:formatCode>0_ </c:formatCode>
                <c:ptCount val="1"/>
                <c:pt idx="0">
                  <c:v>0</c:v>
                </c:pt>
              </c:numCache>
            </c:numRef>
          </c:xVal>
          <c:yVal>
            <c:numRef>
              <c:f>'Linearity Data(Exposure)'!$W$26</c:f>
              <c:numCache>
                <c:formatCode>0_ 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9C-48DC-B6A9-6F6961F89C20}"/>
            </c:ext>
          </c:extLst>
        </c:ser>
        <c:ser>
          <c:idx val="3"/>
          <c:order val="3"/>
          <c:tx>
            <c:v>theor.limit</c:v>
          </c:tx>
          <c:spPr>
            <a:ln w="317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'Linearity Data(Exposure)'!$V$27:$V$28</c:f>
              <c:numCache>
                <c:formatCode>0_ </c:formatCode>
                <c:ptCount val="2"/>
                <c:pt idx="0">
                  <c:v>1</c:v>
                </c:pt>
                <c:pt idx="1">
                  <c:v>1000000</c:v>
                </c:pt>
              </c:numCache>
            </c:numRef>
          </c:xVal>
          <c:yVal>
            <c:numRef>
              <c:f>'Linearity Data(Exposure)'!$W$27:$W$28</c:f>
              <c:numCache>
                <c:formatCode>0_ </c:formatCode>
                <c:ptCount val="2"/>
                <c:pt idx="0">
                  <c:v>1</c:v>
                </c:pt>
                <c:pt idx="1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19C-48DC-B6A9-6F6961F89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71192"/>
        <c:axId val="217571584"/>
      </c:scatterChart>
      <c:valAx>
        <c:axId val="217571192"/>
        <c:scaling>
          <c:logBase val="10"/>
          <c:orientation val="minMax"/>
          <c:max val="200000"/>
          <c:min val="1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0_ " sourceLinked="0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71584"/>
        <c:crossesAt val="0"/>
        <c:crossBetween val="midCat"/>
        <c:majorUnit val="10"/>
        <c:minorUnit val="10"/>
      </c:valAx>
      <c:valAx>
        <c:axId val="217571584"/>
        <c:scaling>
          <c:logBase val="10"/>
          <c:orientation val="minMax"/>
          <c:max val="500"/>
          <c:min val="1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/>
                  <a:t>SNR(Signal to Noise</a:t>
                </a:r>
                <a:r>
                  <a:rPr lang="en-US" altLang="ko-KR" sz="1400" baseline="0"/>
                  <a:t> Ratio)</a:t>
                </a:r>
                <a:endParaRPr lang="en-US" altLang="ko-KR" baseline="0"/>
              </a:p>
            </c:rich>
          </c:tx>
          <c:layout>
            <c:manualLayout>
              <c:xMode val="edge"/>
              <c:yMode val="edge"/>
              <c:x val="2.3222350123125481E-2"/>
              <c:y val="0.35058560818590145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71192"/>
        <c:crosses val="autoZero"/>
        <c:crossBetween val="midCat"/>
        <c:majorUnit val="10"/>
        <c:minorUnit val="5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31"/>
          <c:w val="0.12945747672854488"/>
          <c:h val="0.1335952654433149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633" l="0.70000000000000062" r="0.70000000000000062" t="0.75000000000000633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PTC(Photon Transfer</a:t>
            </a:r>
            <a:r>
              <a:rPr lang="en-US" altLang="ko-KR" baseline="0">
                <a:solidFill>
                  <a:schemeClr val="tx2">
                    <a:lumMod val="75000"/>
                  </a:schemeClr>
                </a:solidFill>
              </a:rPr>
              <a:t> Curve)</a:t>
            </a:r>
          </a:p>
        </c:rich>
      </c:tx>
      <c:layout>
        <c:manualLayout>
          <c:xMode val="edge"/>
          <c:yMode val="edge"/>
          <c:x val="0.35427427892399482"/>
          <c:y val="2.862529203816421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54"/>
          <c:w val="0.79925726042867662"/>
          <c:h val="0.7399138721234706"/>
        </c:manualLayout>
      </c:layout>
      <c:scatterChart>
        <c:scatterStyle val="smoothMarker"/>
        <c:varyColors val="0"/>
        <c:ser>
          <c:idx val="3"/>
          <c:order val="0"/>
          <c:tx>
            <c:v>fit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'Linearity Data(Exposure)'!$V$39:$V$40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xVal>
          <c:yVal>
            <c:numRef>
              <c:f>'Linearity Data(Exposure)'!$W$39:$W$40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CB-45A1-9013-87AA3254A688}"/>
            </c:ext>
          </c:extLst>
        </c:ser>
        <c:ser>
          <c:idx val="2"/>
          <c:order val="1"/>
          <c:tx>
            <c:v>saturation</c:v>
          </c:tx>
          <c:spPr>
            <a:ln w="25400">
              <a:solidFill>
                <a:srgbClr val="2B2BFF"/>
              </a:solidFill>
              <a:prstDash val="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7293005263480082E-2"/>
                  <c:y val="0.57683953612566485"/>
                </c:manualLayout>
              </c:layout>
              <c:tx>
                <c:rich>
                  <a:bodyPr/>
                  <a:lstStyle/>
                  <a:p>
                    <a:r>
                      <a:rPr lang="en-US" altLang="en-US" sz="1200">
                        <a:solidFill>
                          <a:srgbClr val="2B2BFF"/>
                        </a:solidFill>
                        <a:latin typeface="+mj-ea"/>
                        <a:ea typeface="+mj-ea"/>
                      </a:rPr>
                      <a:t>saturation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93CB-45A1-9013-87AA3254A688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</c:spPr>
            <c:txPr>
              <a:bodyPr rot="-5400000" vert="horz"/>
              <a:lstStyle/>
              <a:p>
                <a:pPr>
                  <a:defRPr/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'Linearity Data(Exposure)'!$V$41:$V$42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'Linearity Data(Exposure)'!$W$41:$W$42</c:f>
              <c:numCache>
                <c:formatCode>General</c:formatCode>
                <c:ptCount val="2"/>
                <c:pt idx="0">
                  <c:v>0</c:v>
                </c:pt>
                <c:pt idx="1">
                  <c:v>-1000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CB-45A1-9013-87AA3254A688}"/>
            </c:ext>
          </c:extLst>
        </c:ser>
        <c:ser>
          <c:idx val="1"/>
          <c:order val="2"/>
          <c:tx>
            <c:v>data</c:v>
          </c:tx>
          <c:spPr>
            <a:ln w="15875">
              <a:solidFill>
                <a:schemeClr val="tx1"/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Data(Exposure)'!$B$5:$B$105</c:f>
              <c:numCache>
                <c:formatCode>0.00_);[Red]\(0.00\)</c:formatCode>
                <c:ptCount val="101"/>
                <c:pt idx="0">
                  <c:v>1.5</c:v>
                </c:pt>
                <c:pt idx="1">
                  <c:v>1.8</c:v>
                </c:pt>
                <c:pt idx="2">
                  <c:v>2.1</c:v>
                </c:pt>
                <c:pt idx="3">
                  <c:v>2.4</c:v>
                </c:pt>
                <c:pt idx="4">
                  <c:v>2.7</c:v>
                </c:pt>
                <c:pt idx="5">
                  <c:v>3</c:v>
                </c:pt>
                <c:pt idx="6">
                  <c:v>3.3</c:v>
                </c:pt>
                <c:pt idx="7">
                  <c:v>3.6</c:v>
                </c:pt>
                <c:pt idx="8">
                  <c:v>3.9</c:v>
                </c:pt>
                <c:pt idx="9">
                  <c:v>4.2</c:v>
                </c:pt>
              </c:numCache>
            </c:numRef>
          </c:xVal>
          <c:yVal>
            <c:numRef>
              <c:f>'Linearity Data(Exposure)'!$I$5:$I$105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3CB-45A1-9013-87AA3254A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72760"/>
        <c:axId val="217573152"/>
      </c:scatterChart>
      <c:valAx>
        <c:axId val="217572760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73152"/>
        <c:crossesAt val="0"/>
        <c:crossBetween val="midCat"/>
      </c:valAx>
      <c:valAx>
        <c:axId val="217573152"/>
        <c:scaling>
          <c:orientation val="minMax"/>
          <c:min val="0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variance gray value (DN^2)</a:t>
                </a:r>
                <a:endParaRPr lang="en-US" altLang="ko-KR" baseline="0">
                  <a:latin typeface="+mj-ea"/>
                  <a:ea typeface="+mj-ea"/>
                </a:endParaRPr>
              </a:p>
            </c:rich>
          </c:tx>
          <c:layout>
            <c:manualLayout>
              <c:xMode val="edge"/>
              <c:yMode val="edge"/>
              <c:x val="2.3222350123125481E-2"/>
              <c:y val="0.35058560818590168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72760"/>
        <c:crossesAt val="0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45"/>
          <c:w val="0.16808222727967267"/>
          <c:h val="6.0782963732268533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677" l="0.70000000000000062" r="0.70000000000000062" t="0.75000000000000677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Sensitivity </a:t>
            </a:r>
            <a:r>
              <a:rPr lang="en-US" altLang="ko-KR" baseline="0">
                <a:solidFill>
                  <a:schemeClr val="tx2">
                    <a:lumMod val="75000"/>
                  </a:schemeClr>
                </a:solidFill>
              </a:rPr>
              <a:t>(</a:t>
            </a: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Linearity)</a:t>
            </a:r>
          </a:p>
        </c:rich>
      </c:tx>
      <c:layout>
        <c:manualLayout>
          <c:xMode val="edge"/>
          <c:yMode val="edge"/>
          <c:x val="0.38309950748646682"/>
          <c:y val="4.15628419714100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79"/>
          <c:w val="0.79925726042867662"/>
          <c:h val="0.73991387212347215"/>
        </c:manualLayout>
      </c:layout>
      <c:scatterChart>
        <c:scatterStyle val="smoothMarker"/>
        <c:varyColors val="0"/>
        <c:ser>
          <c:idx val="3"/>
          <c:order val="0"/>
          <c:tx>
            <c:v>fit</c:v>
          </c:tx>
          <c:spPr>
            <a:ln w="2540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'Linearity Data(Exposure)'!$V$75:$V$76</c:f>
              <c:numCache>
                <c:formatCode>0.0_ 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xVal>
          <c:yVal>
            <c:numRef>
              <c:f>'Linearity Data(Exposure)'!$W$75:$W$76</c:f>
              <c:numCache>
                <c:formatCode>General</c:formatCode>
                <c:ptCount val="2"/>
                <c:pt idx="0">
                  <c:v>0</c:v>
                </c:pt>
                <c:pt idx="1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FC-4ACA-B83B-F06C8DC17BC0}"/>
            </c:ext>
          </c:extLst>
        </c:ser>
        <c:ser>
          <c:idx val="1"/>
          <c:order val="1"/>
          <c:tx>
            <c:v>Data</c:v>
          </c:tx>
          <c:spPr>
            <a:ln w="15875">
              <a:noFill/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Data(Exposure)'!$F$5:$F$105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FC-4ACA-B83B-F06C8DC17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72368"/>
        <c:axId val="217569624"/>
      </c:scatterChart>
      <c:valAx>
        <c:axId val="217572368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69624"/>
        <c:crossesAt val="0"/>
        <c:crossBetween val="midCat"/>
      </c:valAx>
      <c:valAx>
        <c:axId val="217569624"/>
        <c:scaling>
          <c:orientation val="minMax"/>
          <c:min val="0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gray value-dark value(DN)</a:t>
                </a:r>
              </a:p>
            </c:rich>
          </c:tx>
          <c:layout>
            <c:manualLayout>
              <c:xMode val="edge"/>
              <c:yMode val="edge"/>
              <c:x val="2.3222350123125481E-2"/>
              <c:y val="0.35058560818590206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72368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62"/>
          <c:w val="0.16808222727967267"/>
          <c:h val="7.7499486228504513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766" l="0.70000000000000062" r="0.70000000000000062" t="0.75000000000000766" header="0.30000000000000032" footer="0.30000000000000032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Deviation linearity</a:t>
            </a:r>
          </a:p>
        </c:rich>
      </c:tx>
      <c:layout>
        <c:manualLayout>
          <c:xMode val="edge"/>
          <c:yMode val="edge"/>
          <c:x val="0.39248070429065368"/>
          <c:y val="4.15628475823887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860529821626822"/>
          <c:y val="0.12730748329279487"/>
          <c:w val="0.79925726042867662"/>
          <c:h val="0.76460027178090761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5875">
              <a:solidFill>
                <a:sysClr val="windowText" lastClr="000000">
                  <a:alpha val="50000"/>
                </a:sysClr>
              </a:solidFill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'Linearity Data'!$L$5:$L$105</c:f>
            </c:numRef>
          </c:xVal>
          <c:yVal>
            <c:numRef>
              <c:f>'Linearity Data(Exposure)'!$R$5:$R$105</c:f>
              <c:numCache>
                <c:formatCode>0.00_ 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07-49F2-AD5F-1691CB2F6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68840"/>
        <c:axId val="217568448"/>
      </c:scatterChart>
      <c:valAx>
        <c:axId val="217568840"/>
        <c:scaling>
          <c:orientation val="minMax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0.0_ 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17568448"/>
        <c:crosses val="autoZero"/>
        <c:crossBetween val="midCat"/>
      </c:valAx>
      <c:valAx>
        <c:axId val="217568448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Linearity</a:t>
                </a:r>
                <a:r>
                  <a:rPr lang="en-US" altLang="ko-KR" sz="1400" baseline="0">
                    <a:latin typeface="+mj-ea"/>
                    <a:ea typeface="+mj-ea"/>
                  </a:rPr>
                  <a:t> error LE(%)</a:t>
                </a:r>
                <a:endParaRPr lang="en-US" altLang="ko-KR" sz="1400">
                  <a:latin typeface="+mj-ea"/>
                  <a:ea typeface="+mj-ea"/>
                </a:endParaRPr>
              </a:p>
            </c:rich>
          </c:tx>
          <c:layout>
            <c:manualLayout>
              <c:xMode val="edge"/>
              <c:yMode val="edge"/>
              <c:x val="2.3222350123125481E-2"/>
              <c:y val="0.35058560818590218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7568840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73"/>
          <c:w val="0.16808222727967267"/>
          <c:h val="5.8646314216880442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788" l="0.70000000000000062" r="0.70000000000000062" t="0.75000000000000788" header="0.30000000000000032" footer="0.3000000000000003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'Linearity Data(Exposure)'!$O$5:$O$23</c:f>
              <c:numCache>
                <c:formatCode>0.0_);[Red]\(0.0\)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1-42AC-8BDD-2FC8BEBEB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574328"/>
        <c:axId val="217574720"/>
      </c:lineChart>
      <c:catAx>
        <c:axId val="217574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7574720"/>
        <c:crosses val="autoZero"/>
        <c:auto val="1"/>
        <c:lblAlgn val="ctr"/>
        <c:lblOffset val="100"/>
        <c:noMultiLvlLbl val="0"/>
      </c:catAx>
      <c:valAx>
        <c:axId val="217574720"/>
        <c:scaling>
          <c:orientation val="minMax"/>
        </c:scaling>
        <c:delete val="0"/>
        <c:axPos val="l"/>
        <c:majorGridlines/>
        <c:numFmt formatCode="0.0_);[Red]\(0.0\)" sourceLinked="1"/>
        <c:majorTickMark val="out"/>
        <c:minorTickMark val="none"/>
        <c:tickLblPos val="nextTo"/>
        <c:crossAx val="217574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'Linearity Data(Exposure)'!$P$5:$P$23</c:f>
              <c:numCache>
                <c:formatCode>0.0_);[Red]\(0.0\)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9E-48DE-BECC-8F25B8BF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575504"/>
        <c:axId val="217575896"/>
      </c:lineChart>
      <c:catAx>
        <c:axId val="21757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7575896"/>
        <c:crosses val="autoZero"/>
        <c:auto val="1"/>
        <c:lblAlgn val="ctr"/>
        <c:lblOffset val="100"/>
        <c:noMultiLvlLbl val="0"/>
      </c:catAx>
      <c:valAx>
        <c:axId val="217575896"/>
        <c:scaling>
          <c:orientation val="minMax"/>
        </c:scaling>
        <c:delete val="0"/>
        <c:axPos val="l"/>
        <c:majorGridlines/>
        <c:numFmt formatCode="0.0_);[Red]\(0.0\)" sourceLinked="1"/>
        <c:majorTickMark val="out"/>
        <c:minorTickMark val="none"/>
        <c:tickLblPos val="nextTo"/>
        <c:crossAx val="217575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800" b="1" i="0" baseline="0">
                <a:solidFill>
                  <a:schemeClr val="tx1"/>
                </a:solidFill>
              </a:rPr>
              <a:t>Dark Current from 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883508164238125"/>
          <c:y val="0.12575378905729648"/>
          <c:w val="0.80265621364574968"/>
          <c:h val="0.6932704331745968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0812683098093179E-3"/>
                  <c:y val="0.146808824352106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'Linearity Data(Exposure)'!$A$5:$A$30</c:f>
              <c:numCache>
                <c:formatCode>0.00_);[Red]\(0.00\)</c:formatCode>
                <c:ptCount val="26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'Linearity Data(Exposure)'!$B$5:$B$30</c:f>
              <c:numCache>
                <c:formatCode>0.00_);[Red]\(0.00\)</c:formatCode>
                <c:ptCount val="26"/>
                <c:pt idx="0">
                  <c:v>1.5</c:v>
                </c:pt>
                <c:pt idx="1">
                  <c:v>1.8</c:v>
                </c:pt>
                <c:pt idx="2">
                  <c:v>2.1</c:v>
                </c:pt>
                <c:pt idx="3">
                  <c:v>2.4</c:v>
                </c:pt>
                <c:pt idx="4">
                  <c:v>2.7</c:v>
                </c:pt>
                <c:pt idx="5">
                  <c:v>3</c:v>
                </c:pt>
                <c:pt idx="6">
                  <c:v>3.3</c:v>
                </c:pt>
                <c:pt idx="7">
                  <c:v>3.6</c:v>
                </c:pt>
                <c:pt idx="8">
                  <c:v>3.9</c:v>
                </c:pt>
                <c:pt idx="9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6B-4136-A169-ADF2FBFF7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112864"/>
        <c:axId val="617113824"/>
      </c:scatterChart>
      <c:valAx>
        <c:axId val="61711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tx1">
                  <a:lumMod val="5000"/>
                  <a:lumOff val="9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solidFill>
                      <a:schemeClr val="tx1"/>
                    </a:solidFill>
                  </a:rPr>
                  <a:t>Exposure Time (s)</a:t>
                </a:r>
              </a:p>
            </c:rich>
          </c:tx>
          <c:layout>
            <c:manualLayout>
              <c:xMode val="edge"/>
              <c:yMode val="edge"/>
              <c:x val="0.43527920636641187"/>
              <c:y val="0.914516721926639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7113824"/>
        <c:crosses val="autoZero"/>
        <c:crossBetween val="midCat"/>
      </c:valAx>
      <c:valAx>
        <c:axId val="61711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dash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400" b="1" i="0" baseline="0">
                    <a:solidFill>
                      <a:schemeClr val="tx1"/>
                    </a:solidFill>
                  </a:rPr>
                  <a:t>Mean  Dark Signal(DN)</a:t>
                </a:r>
                <a:endParaRPr lang="ko-KR" altLang="en-US" sz="1400" b="1" i="0" baseline="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7.6461430856559357E-3"/>
              <c:y val="0.306506332342134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17112864"/>
        <c:crosses val="autoZero"/>
        <c:crossBetween val="midCat"/>
      </c:valAx>
      <c:spPr>
        <a:solidFill>
          <a:schemeClr val="bg1"/>
        </a:solidFill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Horizontal spectrogram DSNU</a:t>
            </a:r>
          </a:p>
        </c:rich>
      </c:tx>
      <c:layout>
        <c:manualLayout>
          <c:xMode val="edge"/>
          <c:yMode val="edge"/>
          <c:x val="0.35237147850181288"/>
          <c:y val="4.15628088056924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98050434502711"/>
          <c:y val="0.12730748329279495"/>
          <c:w val="0.80988201776076041"/>
          <c:h val="0.73991387212347315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Spectrogram!$A$4:$A$4096</c:f>
              <c:numCache>
                <c:formatCode>General</c:formatCode>
                <c:ptCount val="409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Spectrogram!$B$4:$B$4096</c:f>
              <c:numCache>
                <c:formatCode>General</c:formatCode>
                <c:ptCount val="40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BE-4350-A4E8-72FA477B65F5}"/>
            </c:ext>
          </c:extLst>
        </c:ser>
        <c:ser>
          <c:idx val="0"/>
          <c:order val="1"/>
          <c:tx>
            <c:v>Deviation</c:v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Spectrogram!$I$6:$I$7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xVal>
          <c:yVal>
            <c:numRef>
              <c:f>Spectrogram!$J$6:$J$7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BE-4350-A4E8-72FA477B6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730112"/>
        <c:axId val="220659304"/>
      </c:scatterChart>
      <c:valAx>
        <c:axId val="214730112"/>
        <c:scaling>
          <c:orientation val="minMax"/>
          <c:max val="0.5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20659304"/>
        <c:crossesAt val="0"/>
        <c:crossBetween val="midCat"/>
      </c:valAx>
      <c:valAx>
        <c:axId val="220659304"/>
        <c:scaling>
          <c:logBase val="10"/>
          <c:orientation val="minMax"/>
          <c:max val="100"/>
          <c:min val="0.1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standard deviation(DN)</a:t>
                </a:r>
              </a:p>
            </c:rich>
          </c:tx>
          <c:layout>
            <c:manualLayout>
              <c:xMode val="edge"/>
              <c:yMode val="edge"/>
              <c:x val="2.3222350123125481E-2"/>
              <c:y val="0.35058560818590234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14730112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79"/>
          <c:w val="0.16808222727967267"/>
          <c:h val="5.4373040013997502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81" l="0.70000000000000062" r="0.70000000000000062" t="0.7500000000000081" header="0.30000000000000032" footer="0.30000000000000032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Vertical spectrogram DSNU</a:t>
            </a:r>
          </a:p>
        </c:rich>
      </c:tx>
      <c:layout>
        <c:manualLayout>
          <c:xMode val="edge"/>
          <c:yMode val="edge"/>
          <c:x val="0.35237147850181288"/>
          <c:y val="4.15628088056924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98050434502711"/>
          <c:y val="0.12730748329279501"/>
          <c:w val="0.80988201776076041"/>
          <c:h val="0.7399138721234737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Spectrogram!$A$4:$A$4096</c:f>
              <c:numCache>
                <c:formatCode>General</c:formatCode>
                <c:ptCount val="409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Spectrogram!$B$4:$B$4096</c:f>
              <c:numCache>
                <c:formatCode>General</c:formatCode>
                <c:ptCount val="40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3-4023-920B-C5E5E3A61EF0}"/>
            </c:ext>
          </c:extLst>
        </c:ser>
        <c:ser>
          <c:idx val="0"/>
          <c:order val="1"/>
          <c:tx>
            <c:v>Deviation</c:v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Spectrogram!$I$6:$I$7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xVal>
          <c:yVal>
            <c:numRef>
              <c:f>Spectrogram!$J$6:$J$7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53-4023-920B-C5E5E3A6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60088"/>
        <c:axId val="220660480"/>
      </c:scatterChart>
      <c:valAx>
        <c:axId val="220660088"/>
        <c:scaling>
          <c:orientation val="minMax"/>
          <c:max val="0.5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20660480"/>
        <c:crossesAt val="0"/>
        <c:crossBetween val="midCat"/>
      </c:valAx>
      <c:valAx>
        <c:axId val="220660480"/>
        <c:scaling>
          <c:logBase val="10"/>
          <c:orientation val="minMax"/>
          <c:max val="100"/>
          <c:min val="0.1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standard deviation(DN)</a:t>
                </a:r>
              </a:p>
            </c:rich>
          </c:tx>
          <c:layout>
            <c:manualLayout>
              <c:xMode val="edge"/>
              <c:yMode val="edge"/>
              <c:x val="2.3222350123125481E-2"/>
              <c:y val="0.35058560818590245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20660088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84"/>
          <c:w val="0.16808222727967267"/>
          <c:h val="5.4373040013997502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833" l="0.70000000000000062" r="0.70000000000000062" t="0.75000000000000833" header="0.30000000000000032" footer="0.30000000000000032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Horizontal spectrogram PRNU</a:t>
            </a:r>
          </a:p>
        </c:rich>
      </c:tx>
      <c:layout>
        <c:manualLayout>
          <c:xMode val="edge"/>
          <c:yMode val="edge"/>
          <c:x val="0.35237147850181288"/>
          <c:y val="4.15628088056924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98050434502711"/>
          <c:y val="0.12730748329279507"/>
          <c:w val="0.80988201776076041"/>
          <c:h val="0.73991387212347415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Spectrogram!$A$4:$A$4096</c:f>
              <c:numCache>
                <c:formatCode>General</c:formatCode>
                <c:ptCount val="409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Spectrogram!$B$4:$B$4096</c:f>
              <c:numCache>
                <c:formatCode>General</c:formatCode>
                <c:ptCount val="40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73-4820-ABEB-56E6F7E49EC5}"/>
            </c:ext>
          </c:extLst>
        </c:ser>
        <c:ser>
          <c:idx val="0"/>
          <c:order val="1"/>
          <c:tx>
            <c:v>Deviation</c:v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Spectrogram!$I$6:$I$7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xVal>
          <c:yVal>
            <c:numRef>
              <c:f>Spectrogram!$J$6:$J$7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73-4820-ABEB-56E6F7E49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61264"/>
        <c:axId val="220661656"/>
      </c:scatterChart>
      <c:valAx>
        <c:axId val="220661264"/>
        <c:scaling>
          <c:orientation val="minMax"/>
          <c:max val="0.5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20661656"/>
        <c:crossesAt val="0"/>
        <c:crossBetween val="midCat"/>
      </c:valAx>
      <c:valAx>
        <c:axId val="220661656"/>
        <c:scaling>
          <c:logBase val="10"/>
          <c:orientation val="minMax"/>
          <c:max val="100"/>
          <c:min val="0.1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standard deviation(DN)</a:t>
                </a:r>
              </a:p>
            </c:rich>
          </c:tx>
          <c:layout>
            <c:manualLayout>
              <c:xMode val="edge"/>
              <c:yMode val="edge"/>
              <c:x val="1.6581889688107268E-2"/>
              <c:y val="0.35272227755421054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20661264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92"/>
          <c:w val="0.16808222727967267"/>
          <c:h val="5.4373040013997502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855" l="0.70000000000000062" r="0.70000000000000062" t="0.75000000000000855" header="0.30000000000000032" footer="0.30000000000000032"/>
    <c:pageSetup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>
                <a:solidFill>
                  <a:schemeClr val="tx2">
                    <a:lumMod val="75000"/>
                  </a:schemeClr>
                </a:solidFill>
              </a:rPr>
              <a:t>Vertical spectrogram PRNU</a:t>
            </a:r>
          </a:p>
        </c:rich>
      </c:tx>
      <c:layout>
        <c:manualLayout>
          <c:xMode val="edge"/>
          <c:yMode val="edge"/>
          <c:x val="0.35237147850181288"/>
          <c:y val="4.15628088056924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798050434502711"/>
          <c:y val="0.12730748329279507"/>
          <c:w val="0.80988201776076041"/>
          <c:h val="0.73991387212347415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58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Spectrogram!$A$4:$A$4096</c:f>
              <c:numCache>
                <c:formatCode>General</c:formatCode>
                <c:ptCount val="409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Spectrogram!$B$4:$B$4096</c:f>
              <c:numCache>
                <c:formatCode>General</c:formatCode>
                <c:ptCount val="409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C-4016-9165-05FAC6AAFA88}"/>
            </c:ext>
          </c:extLst>
        </c:ser>
        <c:ser>
          <c:idx val="0"/>
          <c:order val="1"/>
          <c:tx>
            <c:v>Deviation</c:v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Spectrogram!$I$6:$I$7</c:f>
              <c:numCache>
                <c:formatCode>General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xVal>
          <c:yVal>
            <c:numRef>
              <c:f>Spectrogram!$J$6:$J$7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C-4016-9165-05FAC6AAF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662440"/>
        <c:axId val="220662832"/>
      </c:scatterChart>
      <c:valAx>
        <c:axId val="220662440"/>
        <c:scaling>
          <c:orientation val="minMax"/>
          <c:max val="0.5"/>
          <c:min val="0"/>
        </c:scaling>
        <c:delete val="0"/>
        <c:axPos val="b"/>
        <c:majorGridlines>
          <c:spPr>
            <a:ln w="6350"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numFmt formatCode="General" sourceLinked="1"/>
        <c:majorTickMark val="in"/>
        <c:minorTickMark val="in"/>
        <c:tickLblPos val="nextTo"/>
        <c:spPr>
          <a:ln w="12700">
            <a:solidFill>
              <a:schemeClr val="tx1"/>
            </a:solidFill>
          </a:ln>
        </c:spPr>
        <c:crossAx val="220662832"/>
        <c:crossesAt val="0"/>
        <c:crossBetween val="midCat"/>
      </c:valAx>
      <c:valAx>
        <c:axId val="220662832"/>
        <c:scaling>
          <c:logBase val="10"/>
          <c:orientation val="minMax"/>
          <c:max val="100"/>
          <c:min val="0.1"/>
        </c:scaling>
        <c:delete val="0"/>
        <c:axPos val="l"/>
        <c:majorGridlines>
          <c:spPr>
            <a:ln>
              <a:prstDash val="dash"/>
            </a:ln>
          </c:spPr>
        </c:majorGridlines>
        <c:minorGridlines>
          <c:spPr>
            <a:ln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400">
                    <a:latin typeface="+mj-ea"/>
                    <a:ea typeface="+mj-ea"/>
                  </a:rPr>
                  <a:t>standard deviation(DN)</a:t>
                </a:r>
              </a:p>
            </c:rich>
          </c:tx>
          <c:layout>
            <c:manualLayout>
              <c:xMode val="edge"/>
              <c:yMode val="edge"/>
              <c:x val="2.3222350123125481E-2"/>
              <c:y val="0.35058560818590256"/>
            </c:manualLayout>
          </c:layout>
          <c:overlay val="0"/>
        </c:title>
        <c:numFmt formatCode="General" sourceLinked="0"/>
        <c:majorTickMark val="in"/>
        <c:minorTickMark val="in"/>
        <c:tickLblPos val="nextTo"/>
        <c:spPr>
          <a:ln w="12700">
            <a:solidFill>
              <a:schemeClr val="tx1"/>
            </a:solidFill>
            <a:prstDash val="dash"/>
          </a:ln>
        </c:spPr>
        <c:txPr>
          <a:bodyPr/>
          <a:lstStyle/>
          <a:p>
            <a:pPr>
              <a:defRPr baseline="0">
                <a:solidFill>
                  <a:sysClr val="windowText" lastClr="000000"/>
                </a:solidFill>
              </a:defRPr>
            </a:pPr>
            <a:endParaRPr lang="en-US"/>
          </a:p>
        </c:txPr>
        <c:crossAx val="220662440"/>
        <c:crosses val="autoZero"/>
        <c:crossBetween val="midCat"/>
      </c:valAx>
      <c:spPr>
        <a:solidFill>
          <a:schemeClr val="bg1"/>
        </a:solidFill>
        <a:ln w="12700" cap="sq" cmpd="sng">
          <a:solidFill>
            <a:schemeClr val="tx1"/>
          </a:solidFill>
          <a:round/>
        </a:ln>
      </c:spPr>
    </c:plotArea>
    <c:legend>
      <c:legendPos val="r"/>
      <c:layout>
        <c:manualLayout>
          <c:xMode val="edge"/>
          <c:yMode val="edge"/>
          <c:x val="0.13148601645041391"/>
          <c:y val="0.14765443263766392"/>
          <c:w val="0.16808222727967267"/>
          <c:h val="5.4373040013997502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000000000000855" l="0.70000000000000062" r="0.70000000000000062" t="0.75000000000000855" header="0.30000000000000032" footer="0.30000000000000032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emf"/><Relationship Id="rId5" Type="http://schemas.openxmlformats.org/officeDocument/2006/relationships/image" Target="../media/image1.emf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126690</xdr:colOff>
      <xdr:row>6</xdr:row>
      <xdr:rowOff>15749</xdr:rowOff>
    </xdr:from>
    <xdr:ext cx="11610809" cy="446212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98140" y="1034924"/>
          <a:ext cx="11610809" cy="4462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altLang="ko-KR" sz="2400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This document contains measurments according to the </a:t>
          </a:r>
          <a:r>
            <a:rPr lang="en-US" altLang="ko-KR" sz="2400" i="1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EMVA1288 Standard .</a:t>
          </a:r>
          <a:r>
            <a:rPr lang="en-US" altLang="ko-KR" sz="2400" baseline="0">
              <a:latin typeface="Times New Roman" pitchFamily="18" charset="0"/>
              <a:cs typeface="Times New Roman" pitchFamily="18" charset="0"/>
            </a:rPr>
            <a:t> </a:t>
          </a:r>
          <a:endParaRPr lang="ko-KR" altLang="en-US" sz="24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1</xdr:col>
      <xdr:colOff>234334</xdr:colOff>
      <xdr:row>13</xdr:row>
      <xdr:rowOff>49480</xdr:rowOff>
    </xdr:from>
    <xdr:ext cx="7717680" cy="50520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1227" y="2104159"/>
          <a:ext cx="7717680" cy="5052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2800" b="1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1. EMVA1288</a:t>
          </a:r>
          <a:r>
            <a:rPr lang="en-US" sz="2800" b="1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 Camera Specification</a:t>
          </a:r>
          <a:endParaRPr lang="ko-KR" sz="28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twoCellAnchor>
    <xdr:from>
      <xdr:col>8</xdr:col>
      <xdr:colOff>206801</xdr:colOff>
      <xdr:row>122</xdr:row>
      <xdr:rowOff>138547</xdr:rowOff>
    </xdr:from>
    <xdr:to>
      <xdr:col>15</xdr:col>
      <xdr:colOff>916848</xdr:colOff>
      <xdr:row>150</xdr:row>
      <xdr:rowOff>138545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51955</xdr:colOff>
      <xdr:row>122</xdr:row>
      <xdr:rowOff>138547</xdr:rowOff>
    </xdr:from>
    <xdr:to>
      <xdr:col>8</xdr:col>
      <xdr:colOff>103910</xdr:colOff>
      <xdr:row>150</xdr:row>
      <xdr:rowOff>129890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51955</xdr:colOff>
      <xdr:row>153</xdr:row>
      <xdr:rowOff>42787</xdr:rowOff>
    </xdr:from>
    <xdr:to>
      <xdr:col>8</xdr:col>
      <xdr:colOff>97573</xdr:colOff>
      <xdr:row>180</xdr:row>
      <xdr:rowOff>32524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63161</xdr:colOff>
      <xdr:row>1</xdr:row>
      <xdr:rowOff>83280</xdr:rowOff>
    </xdr:from>
    <xdr:ext cx="12053455" cy="682174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3161" y="226155"/>
          <a:ext cx="12053455" cy="6821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4000" b="1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EMVA1288</a:t>
          </a:r>
          <a:r>
            <a:rPr lang="en-US" sz="4000" b="1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 SUMMARY SHEET</a:t>
          </a:r>
          <a:endParaRPr lang="ko-KR" sz="4000" b="1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twoCellAnchor>
    <xdr:from>
      <xdr:col>8</xdr:col>
      <xdr:colOff>206801</xdr:colOff>
      <xdr:row>153</xdr:row>
      <xdr:rowOff>42787</xdr:rowOff>
    </xdr:from>
    <xdr:to>
      <xdr:col>15</xdr:col>
      <xdr:colOff>883228</xdr:colOff>
      <xdr:row>180</xdr:row>
      <xdr:rowOff>34635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0</xdr:colOff>
      <xdr:row>119</xdr:row>
      <xdr:rowOff>0</xdr:rowOff>
    </xdr:from>
    <xdr:ext cx="5569324" cy="50520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66688" y="17121188"/>
          <a:ext cx="5569324" cy="5052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altLang="ko-KR" sz="2800" b="1">
              <a:latin typeface="Times New Roman" pitchFamily="18" charset="0"/>
              <a:cs typeface="Times New Roman" pitchFamily="18" charset="0"/>
            </a:rPr>
            <a:t>2. Graph Data</a:t>
          </a:r>
          <a:endParaRPr lang="ko-KR" sz="2800" b="1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180975</xdr:colOff>
          <xdr:row>18</xdr:row>
          <xdr:rowOff>0</xdr:rowOff>
        </xdr:from>
        <xdr:to>
          <xdr:col>15</xdr:col>
          <xdr:colOff>514350</xdr:colOff>
          <xdr:row>61</xdr:row>
          <xdr:rowOff>57150</xdr:rowOff>
        </xdr:to>
        <xdr:pic>
          <xdr:nvPicPr>
            <xdr:cNvPr id="1025" name="Picture 1">
              <a:extLs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'Operation point'!$B$2:$G$16" spid="_x0000_s107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6343650" y="2847975"/>
              <a:ext cx="5191125" cy="6610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676275</xdr:colOff>
          <xdr:row>67</xdr:row>
          <xdr:rowOff>123825</xdr:rowOff>
        </xdr:from>
        <xdr:to>
          <xdr:col>12</xdr:col>
          <xdr:colOff>1143000</xdr:colOff>
          <xdr:row>116</xdr:row>
          <xdr:rowOff>66675</xdr:rowOff>
        </xdr:to>
        <xdr:pic>
          <xdr:nvPicPr>
            <xdr:cNvPr id="1026" name="Picture 2">
              <a:extLs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Data!$B$2:$F$22" spid="_x0000_s1080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3019425" y="10439400"/>
              <a:ext cx="6219825" cy="74104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17</xdr:row>
          <xdr:rowOff>133350</xdr:rowOff>
        </xdr:from>
        <xdr:to>
          <xdr:col>8</xdr:col>
          <xdr:colOff>76200</xdr:colOff>
          <xdr:row>58</xdr:row>
          <xdr:rowOff>66675</xdr:rowOff>
        </xdr:to>
        <xdr:pic>
          <xdr:nvPicPr>
            <xdr:cNvPr id="1027" name="Picture 3">
              <a:extLs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Information!$B$2:$F$19" spid="_x0000_s1081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80975" y="2828925"/>
              <a:ext cx="5743575" cy="61817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0.39078</cdr:x>
      <cdr:y>0.92596</cdr:y>
    </cdr:from>
    <cdr:to>
      <cdr:x>0.52181</cdr:x>
      <cdr:y>0.98566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694667" y="4389119"/>
          <a:ext cx="903523" cy="282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0.35396</cdr:x>
      <cdr:y>0.91864</cdr:y>
    </cdr:from>
    <cdr:to>
      <cdr:x>0.48499</cdr:x>
      <cdr:y>0.97834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2114829" y="3981257"/>
          <a:ext cx="782875" cy="2587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>
              <a:latin typeface="+mn-lt"/>
              <a:ea typeface="+mj-ea"/>
            </a:rPr>
            <a:t>gray value - dark value(DN)</a:t>
          </a:r>
          <a:endParaRPr lang="ko-KR" altLang="en-US" sz="1400" b="1">
            <a:latin typeface="+mn-lt"/>
            <a:ea typeface="+mj-ea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0.37346</cdr:x>
      <cdr:y>0.90652</cdr:y>
    </cdr:from>
    <cdr:to>
      <cdr:x>0.50449</cdr:x>
      <cdr:y>0.96647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541793" y="3610838"/>
          <a:ext cx="891796" cy="2387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0.36202</cdr:x>
      <cdr:y>0.93453</cdr:y>
    </cdr:from>
    <cdr:to>
      <cdr:x>0.49305</cdr:x>
      <cdr:y>0.99448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144524" y="3925167"/>
          <a:ext cx="776201" cy="251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448234</xdr:colOff>
      <xdr:row>4</xdr:row>
      <xdr:rowOff>67236</xdr:rowOff>
    </xdr:from>
    <xdr:to>
      <xdr:col>35</xdr:col>
      <xdr:colOff>541805</xdr:colOff>
      <xdr:row>26</xdr:row>
      <xdr:rowOff>123265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425823</xdr:colOff>
      <xdr:row>27</xdr:row>
      <xdr:rowOff>190500</xdr:rowOff>
    </xdr:from>
    <xdr:to>
      <xdr:col>35</xdr:col>
      <xdr:colOff>504265</xdr:colOff>
      <xdr:row>51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448236</xdr:colOff>
      <xdr:row>52</xdr:row>
      <xdr:rowOff>33618</xdr:rowOff>
    </xdr:from>
    <xdr:to>
      <xdr:col>35</xdr:col>
      <xdr:colOff>470647</xdr:colOff>
      <xdr:row>76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448235</xdr:colOff>
      <xdr:row>77</xdr:row>
      <xdr:rowOff>22412</xdr:rowOff>
    </xdr:from>
    <xdr:to>
      <xdr:col>35</xdr:col>
      <xdr:colOff>481852</xdr:colOff>
      <xdr:row>101</xdr:row>
      <xdr:rowOff>33618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672355</xdr:colOff>
      <xdr:row>56</xdr:row>
      <xdr:rowOff>134472</xdr:rowOff>
    </xdr:from>
    <xdr:to>
      <xdr:col>24</xdr:col>
      <xdr:colOff>2</xdr:colOff>
      <xdr:row>69</xdr:row>
      <xdr:rowOff>112061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605118</xdr:colOff>
      <xdr:row>43</xdr:row>
      <xdr:rowOff>112057</xdr:rowOff>
    </xdr:from>
    <xdr:to>
      <xdr:col>23</xdr:col>
      <xdr:colOff>616324</xdr:colOff>
      <xdr:row>56</xdr:row>
      <xdr:rowOff>89647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0.39078</cdr:x>
      <cdr:y>0.92596</cdr:y>
    </cdr:from>
    <cdr:to>
      <cdr:x>0.52181</cdr:x>
      <cdr:y>0.98566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694667" y="4389119"/>
          <a:ext cx="903523" cy="282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0.37453</cdr:x>
      <cdr:y>0.92353</cdr:y>
    </cdr:from>
    <cdr:to>
      <cdr:x>0.50556</cdr:x>
      <cdr:y>0.98323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2576908" y="4532834"/>
          <a:ext cx="901540" cy="29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>
              <a:latin typeface="+mj-ea"/>
              <a:ea typeface="+mj-ea"/>
            </a:rPr>
            <a:t>gray value - dark value(DN)</a:t>
          </a:r>
          <a:endParaRPr lang="ko-KR" altLang="en-US" sz="1400" b="1">
            <a:latin typeface="+mj-ea"/>
            <a:ea typeface="+mj-ea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0.44095</cdr:x>
      <cdr:y>0.92628</cdr:y>
    </cdr:from>
    <cdr:to>
      <cdr:x>0.57198</cdr:x>
      <cdr:y>0.98623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204607" y="5493148"/>
          <a:ext cx="1249414" cy="35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0.37855</cdr:x>
      <cdr:y>0.92826</cdr:y>
    </cdr:from>
    <cdr:to>
      <cdr:x>0.50958</cdr:x>
      <cdr:y>0.98821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583387" y="5252997"/>
          <a:ext cx="894199" cy="339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448234</xdr:colOff>
      <xdr:row>4</xdr:row>
      <xdr:rowOff>67236</xdr:rowOff>
    </xdr:from>
    <xdr:to>
      <xdr:col>35</xdr:col>
      <xdr:colOff>541805</xdr:colOff>
      <xdr:row>26</xdr:row>
      <xdr:rowOff>123265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5359EE8-C7B6-4D88-99F7-50036FA7EB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425823</xdr:colOff>
      <xdr:row>27</xdr:row>
      <xdr:rowOff>190500</xdr:rowOff>
    </xdr:from>
    <xdr:to>
      <xdr:col>35</xdr:col>
      <xdr:colOff>504265</xdr:colOff>
      <xdr:row>51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6C366B8-7569-4A10-82C1-10F11E666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448236</xdr:colOff>
      <xdr:row>52</xdr:row>
      <xdr:rowOff>33618</xdr:rowOff>
    </xdr:from>
    <xdr:to>
      <xdr:col>35</xdr:col>
      <xdr:colOff>470647</xdr:colOff>
      <xdr:row>76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67A855B-191B-4AC5-A537-761BC23B0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448235</xdr:colOff>
      <xdr:row>77</xdr:row>
      <xdr:rowOff>22412</xdr:rowOff>
    </xdr:from>
    <xdr:to>
      <xdr:col>35</xdr:col>
      <xdr:colOff>481852</xdr:colOff>
      <xdr:row>101</xdr:row>
      <xdr:rowOff>33618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6F39FF8-067A-4FD5-8DA4-EECD2B48C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672355</xdr:colOff>
      <xdr:row>56</xdr:row>
      <xdr:rowOff>134472</xdr:rowOff>
    </xdr:from>
    <xdr:to>
      <xdr:col>24</xdr:col>
      <xdr:colOff>2</xdr:colOff>
      <xdr:row>69</xdr:row>
      <xdr:rowOff>112061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D5F02B7-F937-445A-AEAE-3A81F547D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605118</xdr:colOff>
      <xdr:row>43</xdr:row>
      <xdr:rowOff>112057</xdr:rowOff>
    </xdr:from>
    <xdr:to>
      <xdr:col>23</xdr:col>
      <xdr:colOff>616324</xdr:colOff>
      <xdr:row>56</xdr:row>
      <xdr:rowOff>89647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779B925-6308-43D5-A552-87C34649B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504266</xdr:colOff>
      <xdr:row>102</xdr:row>
      <xdr:rowOff>201706</xdr:rowOff>
    </xdr:from>
    <xdr:to>
      <xdr:col>35</xdr:col>
      <xdr:colOff>643560</xdr:colOff>
      <xdr:row>123</xdr:row>
      <xdr:rowOff>78515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48F3552-80DE-4EE0-B5E5-729228841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0.39078</cdr:x>
      <cdr:y>0.92596</cdr:y>
    </cdr:from>
    <cdr:to>
      <cdr:x>0.52181</cdr:x>
      <cdr:y>0.98566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2694667" y="4389119"/>
          <a:ext cx="903523" cy="2829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0.37453</cdr:x>
      <cdr:y>0.92353</cdr:y>
    </cdr:from>
    <cdr:to>
      <cdr:x>0.50556</cdr:x>
      <cdr:y>0.98323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2576908" y="4532834"/>
          <a:ext cx="901540" cy="2930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>
              <a:latin typeface="+mj-ea"/>
              <a:ea typeface="+mj-ea"/>
            </a:rPr>
            <a:t>gray value - dark value(DN)</a:t>
          </a:r>
          <a:endParaRPr lang="ko-KR" altLang="en-US" sz="1400" b="1">
            <a:latin typeface="+mj-ea"/>
            <a:ea typeface="+mj-ea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0.44095</cdr:x>
      <cdr:y>0.92628</cdr:y>
    </cdr:from>
    <cdr:to>
      <cdr:x>0.57198</cdr:x>
      <cdr:y>0.98623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204607" y="5493148"/>
          <a:ext cx="1249414" cy="35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0.37855</cdr:x>
      <cdr:y>0.92826</cdr:y>
    </cdr:from>
    <cdr:to>
      <cdr:x>0.50958</cdr:x>
      <cdr:y>0.98821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2583387" y="5252997"/>
          <a:ext cx="894199" cy="3392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irradiation (photons/pixel)</a:t>
          </a:r>
          <a:endParaRPr lang="ko-KR" altLang="en-US" sz="1400" b="1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503465</xdr:colOff>
      <xdr:row>1</xdr:row>
      <xdr:rowOff>0</xdr:rowOff>
    </xdr:from>
    <xdr:to>
      <xdr:col>24</xdr:col>
      <xdr:colOff>541006</xdr:colOff>
      <xdr:row>30</xdr:row>
      <xdr:rowOff>24813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503465</xdr:colOff>
      <xdr:row>32</xdr:row>
      <xdr:rowOff>0</xdr:rowOff>
    </xdr:from>
    <xdr:to>
      <xdr:col>24</xdr:col>
      <xdr:colOff>541006</xdr:colOff>
      <xdr:row>61</xdr:row>
      <xdr:rowOff>24813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503465</xdr:colOff>
      <xdr:row>63</xdr:row>
      <xdr:rowOff>0</xdr:rowOff>
    </xdr:from>
    <xdr:to>
      <xdr:col>24</xdr:col>
      <xdr:colOff>541006</xdr:colOff>
      <xdr:row>92</xdr:row>
      <xdr:rowOff>24813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503465</xdr:colOff>
      <xdr:row>95</xdr:row>
      <xdr:rowOff>0</xdr:rowOff>
    </xdr:from>
    <xdr:to>
      <xdr:col>24</xdr:col>
      <xdr:colOff>541006</xdr:colOff>
      <xdr:row>124</xdr:row>
      <xdr:rowOff>24813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0.44095</cdr:x>
      <cdr:y>0.92628</cdr:y>
    </cdr:from>
    <cdr:to>
      <cdr:x>0.57198</cdr:x>
      <cdr:y>0.98623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204607" y="5493148"/>
          <a:ext cx="1249414" cy="35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cycles (periods/pixel))</a:t>
          </a:r>
          <a:endParaRPr lang="ko-KR" altLang="en-US" sz="1400" b="1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0.44095</cdr:x>
      <cdr:y>0.92628</cdr:y>
    </cdr:from>
    <cdr:to>
      <cdr:x>0.57198</cdr:x>
      <cdr:y>0.98623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204607" y="5493148"/>
          <a:ext cx="1249414" cy="35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cycles (periods/pixel))</a:t>
          </a:r>
          <a:endParaRPr lang="ko-KR" altLang="en-US" sz="1400" b="1"/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0.44095</cdr:x>
      <cdr:y>0.92628</cdr:y>
    </cdr:from>
    <cdr:to>
      <cdr:x>0.57198</cdr:x>
      <cdr:y>0.98623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204607" y="5493148"/>
          <a:ext cx="1249414" cy="35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cycles (periods/pixel))</a:t>
          </a:r>
          <a:endParaRPr lang="ko-KR" altLang="en-US" sz="1400" b="1"/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0.44095</cdr:x>
      <cdr:y>0.92628</cdr:y>
    </cdr:from>
    <cdr:to>
      <cdr:x>0.57198</cdr:x>
      <cdr:y>0.98623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4204607" y="5493148"/>
          <a:ext cx="1249414" cy="3555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altLang="ko-KR" sz="1400" b="1"/>
            <a:t>cycles (periods/pixel))</a:t>
          </a:r>
          <a:endParaRPr lang="ko-KR" altLang="en-US" sz="1400" b="1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309"/>
  <sheetViews>
    <sheetView showGridLines="0" view="pageLayout" topLeftCell="A109" zoomScale="70" zoomScaleNormal="85" zoomScaleSheetLayoutView="100" zoomScalePageLayoutView="70" workbookViewId="0">
      <selection activeCell="R37" sqref="R37"/>
    </sheetView>
  </sheetViews>
  <sheetFormatPr defaultColWidth="9" defaultRowHeight="12" customHeight="1" x14ac:dyDescent="0.15"/>
  <cols>
    <col min="1" max="1" width="2.25" style="36" customWidth="1"/>
    <col min="2" max="2" width="14.375" style="36" customWidth="1"/>
    <col min="3" max="3" width="14.125" style="36" customWidth="1"/>
    <col min="4" max="4" width="9.125" style="36" customWidth="1"/>
    <col min="5" max="5" width="11.125" style="36" customWidth="1"/>
    <col min="6" max="6" width="13.125" style="36" customWidth="1"/>
    <col min="7" max="7" width="3.875" style="36" customWidth="1"/>
    <col min="8" max="8" width="8.75" style="36" customWidth="1"/>
    <col min="9" max="9" width="3.75" style="36" customWidth="1"/>
    <col min="10" max="10" width="0.375" style="36" customWidth="1"/>
    <col min="11" max="11" width="11.625" style="36" customWidth="1"/>
    <col min="12" max="12" width="13.75" style="36" customWidth="1"/>
    <col min="13" max="13" width="18.125" style="36" customWidth="1"/>
    <col min="14" max="14" width="11.375" style="36" customWidth="1"/>
    <col min="15" max="15" width="8.875" style="36" customWidth="1"/>
    <col min="16" max="16" width="13.125" style="36" customWidth="1"/>
    <col min="17" max="17" width="9" style="36"/>
    <col min="18" max="18" width="9" style="36" customWidth="1"/>
    <col min="19" max="16384" width="9" style="36"/>
  </cols>
  <sheetData>
    <row r="4" ht="20.25" customHeight="1" x14ac:dyDescent="0.15"/>
    <row r="18" spans="8:8" ht="12" customHeight="1" x14ac:dyDescent="0.15">
      <c r="H18" s="36" t="s">
        <v>111</v>
      </c>
    </row>
    <row r="55" spans="1:1" ht="12" customHeight="1" x14ac:dyDescent="0.15">
      <c r="A55" s="39"/>
    </row>
    <row r="56" spans="1:1" ht="12" customHeight="1" x14ac:dyDescent="0.15">
      <c r="A56" s="39"/>
    </row>
    <row r="64" spans="1:1" ht="12" customHeight="1" x14ac:dyDescent="0.15">
      <c r="A64" s="38"/>
    </row>
    <row r="65" spans="1:1" ht="12" customHeight="1" x14ac:dyDescent="0.15">
      <c r="A65" s="38"/>
    </row>
    <row r="66" spans="1:1" ht="12" customHeight="1" x14ac:dyDescent="0.15">
      <c r="A66" s="38"/>
    </row>
    <row r="67" spans="1:1" ht="12" customHeight="1" x14ac:dyDescent="0.15">
      <c r="A67" s="38"/>
    </row>
    <row r="68" spans="1:1" ht="12" customHeight="1" x14ac:dyDescent="0.15">
      <c r="A68" s="38"/>
    </row>
    <row r="69" spans="1:1" ht="12" customHeight="1" x14ac:dyDescent="0.15">
      <c r="A69" s="38"/>
    </row>
    <row r="70" spans="1:1" ht="12" customHeight="1" x14ac:dyDescent="0.15">
      <c r="A70" s="38"/>
    </row>
    <row r="71" spans="1:1" ht="12" customHeight="1" x14ac:dyDescent="0.15">
      <c r="A71" s="38"/>
    </row>
    <row r="72" spans="1:1" ht="12" customHeight="1" x14ac:dyDescent="0.15">
      <c r="A72" s="38"/>
    </row>
    <row r="73" spans="1:1" ht="12" customHeight="1" x14ac:dyDescent="0.15">
      <c r="A73" s="38"/>
    </row>
    <row r="74" spans="1:1" ht="12" customHeight="1" x14ac:dyDescent="0.15">
      <c r="A74" s="38"/>
    </row>
    <row r="75" spans="1:1" ht="12" customHeight="1" x14ac:dyDescent="0.15">
      <c r="A75" s="38"/>
    </row>
    <row r="76" spans="1:1" ht="12" customHeight="1" x14ac:dyDescent="0.15">
      <c r="A76" s="38"/>
    </row>
    <row r="77" spans="1:1" ht="12" customHeight="1" x14ac:dyDescent="0.15">
      <c r="A77" s="38"/>
    </row>
    <row r="78" spans="1:1" ht="12" customHeight="1" x14ac:dyDescent="0.15">
      <c r="A78" s="38"/>
    </row>
    <row r="79" spans="1:1" ht="12" customHeight="1" x14ac:dyDescent="0.15">
      <c r="A79" s="38"/>
    </row>
    <row r="80" spans="1:1" ht="12" customHeight="1" x14ac:dyDescent="0.15">
      <c r="A80" s="38"/>
    </row>
    <row r="81" spans="1:1" ht="12" customHeight="1" x14ac:dyDescent="0.15">
      <c r="A81" s="38"/>
    </row>
    <row r="82" spans="1:1" ht="12" customHeight="1" x14ac:dyDescent="0.15">
      <c r="A82" s="38"/>
    </row>
    <row r="83" spans="1:1" ht="12" customHeight="1" x14ac:dyDescent="0.15">
      <c r="A83" s="38"/>
    </row>
    <row r="84" spans="1:1" ht="12" customHeight="1" x14ac:dyDescent="0.15">
      <c r="A84" s="38"/>
    </row>
    <row r="85" spans="1:1" ht="12" customHeight="1" x14ac:dyDescent="0.15">
      <c r="A85" s="38"/>
    </row>
    <row r="86" spans="1:1" ht="12" customHeight="1" x14ac:dyDescent="0.15">
      <c r="A86" s="38"/>
    </row>
    <row r="87" spans="1:1" ht="12" customHeight="1" x14ac:dyDescent="0.15">
      <c r="A87" s="38"/>
    </row>
    <row r="88" spans="1:1" ht="12" customHeight="1" x14ac:dyDescent="0.15">
      <c r="A88" s="38"/>
    </row>
    <row r="89" spans="1:1" ht="12" customHeight="1" x14ac:dyDescent="0.15">
      <c r="A89" s="38"/>
    </row>
    <row r="90" spans="1:1" ht="12" customHeight="1" x14ac:dyDescent="0.15">
      <c r="A90" s="38"/>
    </row>
    <row r="91" spans="1:1" ht="12" customHeight="1" x14ac:dyDescent="0.15">
      <c r="A91" s="38"/>
    </row>
    <row r="92" spans="1:1" ht="12" customHeight="1" x14ac:dyDescent="0.15">
      <c r="A92" s="38"/>
    </row>
    <row r="93" spans="1:1" ht="12" customHeight="1" x14ac:dyDescent="0.15">
      <c r="A93" s="38"/>
    </row>
    <row r="94" spans="1:1" ht="12" customHeight="1" x14ac:dyDescent="0.15">
      <c r="A94" s="38"/>
    </row>
    <row r="95" spans="1:1" ht="12" customHeight="1" x14ac:dyDescent="0.15">
      <c r="A95" s="38"/>
    </row>
    <row r="96" spans="1:1" ht="12" customHeight="1" x14ac:dyDescent="0.15">
      <c r="A96" s="38"/>
    </row>
    <row r="97" spans="1:1" ht="12" customHeight="1" x14ac:dyDescent="0.15">
      <c r="A97" s="38"/>
    </row>
    <row r="98" spans="1:1" ht="12" customHeight="1" x14ac:dyDescent="0.15">
      <c r="A98" s="38"/>
    </row>
    <row r="99" spans="1:1" ht="12" customHeight="1" x14ac:dyDescent="0.15">
      <c r="A99" s="38"/>
    </row>
    <row r="100" spans="1:1" ht="12" customHeight="1" x14ac:dyDescent="0.15">
      <c r="A100" s="38"/>
    </row>
    <row r="101" spans="1:1" ht="12" customHeight="1" x14ac:dyDescent="0.15">
      <c r="A101" s="38"/>
    </row>
    <row r="299" spans="2:6" ht="12" customHeight="1" x14ac:dyDescent="0.25">
      <c r="B299" s="37"/>
      <c r="C299" s="37"/>
      <c r="D299" s="37"/>
      <c r="E299" s="37"/>
      <c r="F299" s="37"/>
    </row>
    <row r="300" spans="2:6" ht="12" customHeight="1" x14ac:dyDescent="0.25">
      <c r="B300" s="37"/>
      <c r="C300" s="37"/>
      <c r="D300" s="37"/>
      <c r="E300" s="37"/>
      <c r="F300" s="37"/>
    </row>
    <row r="301" spans="2:6" ht="12" customHeight="1" x14ac:dyDescent="0.25">
      <c r="B301" s="37"/>
      <c r="C301" s="37"/>
      <c r="D301" s="37"/>
      <c r="E301" s="37"/>
      <c r="F301" s="37"/>
    </row>
    <row r="302" spans="2:6" ht="12" customHeight="1" x14ac:dyDescent="0.25">
      <c r="B302" s="37"/>
      <c r="C302" s="37"/>
      <c r="D302" s="37"/>
      <c r="E302" s="37"/>
      <c r="F302" s="37"/>
    </row>
    <row r="306" spans="7:9" ht="12" customHeight="1" x14ac:dyDescent="0.25">
      <c r="G306" s="37"/>
      <c r="H306" s="37"/>
      <c r="I306" s="37"/>
    </row>
    <row r="307" spans="7:9" ht="12" customHeight="1" x14ac:dyDescent="0.25">
      <c r="G307" s="37"/>
      <c r="H307" s="37"/>
      <c r="I307" s="37"/>
    </row>
    <row r="308" spans="7:9" ht="12" customHeight="1" x14ac:dyDescent="0.25">
      <c r="G308" s="37"/>
      <c r="H308" s="37"/>
      <c r="I308" s="37"/>
    </row>
    <row r="309" spans="7:9" ht="12" customHeight="1" x14ac:dyDescent="0.25">
      <c r="G309" s="37"/>
      <c r="H309" s="37"/>
      <c r="I309" s="37"/>
    </row>
  </sheetData>
  <phoneticPr fontId="1" type="noConversion"/>
  <pageMargins left="0.70866141732283472" right="0.70866141732283472" top="0.82677165354330717" bottom="0.82677165354330717" header="0.31496062992125984" footer="0.31496062992125984"/>
  <pageSetup paperSize="9" scale="50" orientation="portrait" horizontalDpi="1200" verticalDpi="1200" r:id="rId1"/>
  <headerFooter>
    <oddHeader xml:space="preserve">&amp;L    &amp;G
&amp;C&amp;8
&amp;11
━━━━━━━━━━━━━━━━━━━━━━━━━━━━━━━━━━━━━━━━━━━━━━━━━━━━━━━━━━━━━━━━━━━━━━━━━━━━━━━━━━━━━━━&amp;R&amp;G        
</oddHeader>
    <oddFooter>&amp;L&amp;24━━━━━━━━━━━━━━━━━━━━━━━━━━━━━━━━━━━━━━━━&amp;11
&amp;C&amp;"Verdana,보통"&amp;24 &amp;P/2&amp;R&amp;G</oddFoot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5"/>
  <sheetViews>
    <sheetView tabSelected="1" zoomScale="85" zoomScaleNormal="85" workbookViewId="0">
      <selection activeCell="V6" sqref="V6"/>
    </sheetView>
  </sheetViews>
  <sheetFormatPr defaultRowHeight="16.5" x14ac:dyDescent="0.3"/>
  <cols>
    <col min="1" max="1" width="10.75" customWidth="1"/>
    <col min="2" max="3" width="10.375" style="22" customWidth="1"/>
    <col min="4" max="4" width="9.125" style="22" customWidth="1"/>
    <col min="5" max="5" width="4.875" style="32" customWidth="1"/>
    <col min="6" max="6" width="10.875" style="18" customWidth="1"/>
    <col min="7" max="7" width="5.875" style="18" customWidth="1"/>
    <col min="8" max="8" width="7.625" style="18" hidden="1" customWidth="1"/>
    <col min="9" max="9" width="7" style="18" customWidth="1"/>
    <col min="10" max="10" width="9" style="18" hidden="1" customWidth="1"/>
    <col min="11" max="11" width="7.625" style="18" hidden="1" customWidth="1"/>
    <col min="12" max="12" width="7.375" style="17" customWidth="1"/>
    <col min="13" max="17" width="14.125" style="19" customWidth="1"/>
    <col min="18" max="18" width="19.75" style="18" customWidth="1"/>
    <col min="20" max="20" width="12.375" customWidth="1"/>
    <col min="21" max="21" width="20.625" customWidth="1"/>
    <col min="26" max="26" width="8.375" customWidth="1"/>
  </cols>
  <sheetData>
    <row r="1" spans="1:24" x14ac:dyDescent="0.3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63"/>
      <c r="O1" s="63"/>
      <c r="P1" s="63"/>
      <c r="Q1" s="63"/>
    </row>
    <row r="2" spans="1:24" x14ac:dyDescent="0.3">
      <c r="A2" s="89" t="s">
        <v>36</v>
      </c>
      <c r="B2" s="89"/>
      <c r="C2" s="89"/>
      <c r="D2" s="90"/>
      <c r="E2" s="84" t="s">
        <v>2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</row>
    <row r="3" spans="1:24" ht="24" customHeight="1" x14ac:dyDescent="0.3">
      <c r="A3" s="81" t="s">
        <v>112</v>
      </c>
      <c r="B3" s="81" t="s">
        <v>0</v>
      </c>
      <c r="C3" s="81" t="s">
        <v>65</v>
      </c>
      <c r="D3" s="81" t="s">
        <v>66</v>
      </c>
      <c r="E3" s="87" t="s">
        <v>24</v>
      </c>
      <c r="F3" s="73" t="s">
        <v>0</v>
      </c>
      <c r="G3" s="73" t="s">
        <v>20</v>
      </c>
      <c r="H3" s="27" t="s">
        <v>31</v>
      </c>
      <c r="I3" s="73" t="s">
        <v>32</v>
      </c>
      <c r="J3" s="71" t="s">
        <v>30</v>
      </c>
      <c r="K3" s="72"/>
      <c r="L3" s="75" t="s">
        <v>33</v>
      </c>
      <c r="M3" s="77" t="s">
        <v>34</v>
      </c>
      <c r="N3" s="61"/>
      <c r="O3" s="61"/>
      <c r="P3" s="61"/>
      <c r="Q3" s="61"/>
      <c r="R3" s="79" t="s">
        <v>21</v>
      </c>
      <c r="T3" s="60"/>
    </row>
    <row r="4" spans="1:24" ht="27" customHeight="1" x14ac:dyDescent="0.3">
      <c r="A4" s="82"/>
      <c r="B4" s="82"/>
      <c r="C4" s="82"/>
      <c r="D4" s="82"/>
      <c r="E4" s="88"/>
      <c r="F4" s="74"/>
      <c r="G4" s="74"/>
      <c r="H4" s="27" t="s">
        <v>31</v>
      </c>
      <c r="I4" s="74"/>
      <c r="J4" s="27" t="s">
        <v>35</v>
      </c>
      <c r="K4" s="27" t="s">
        <v>25</v>
      </c>
      <c r="L4" s="76"/>
      <c r="M4" s="78"/>
      <c r="N4" s="62"/>
      <c r="O4" s="62" t="s">
        <v>133</v>
      </c>
      <c r="P4" s="62"/>
      <c r="Q4" s="62"/>
      <c r="R4" s="80"/>
      <c r="T4" s="8"/>
    </row>
    <row r="5" spans="1:24" x14ac:dyDescent="0.3">
      <c r="A5" s="20"/>
      <c r="B5" s="66"/>
      <c r="C5" s="66"/>
      <c r="D5" s="66"/>
      <c r="E5" s="31">
        <v>0</v>
      </c>
      <c r="F5" s="24" t="str">
        <f t="shared" ref="F5:F36" si="0">IF(G5="","",B5)</f>
        <v/>
      </c>
      <c r="G5" s="24" t="str">
        <f>IF(SUM($H4:H$5)&lt;1,C5,"")</f>
        <v/>
      </c>
      <c r="H5" s="24">
        <f t="shared" ref="H5:H36" si="1">IF(MAX($C$5:$C$105)=C5,1,"")</f>
        <v>1</v>
      </c>
      <c r="I5" s="24">
        <f t="shared" ref="I5:I36" si="2">C5^2-$C$5^2</f>
        <v>0</v>
      </c>
      <c r="J5" s="24" t="e">
        <f>IF(AND($V$40&gt;F5,NOT(G5="")),F5,"")</f>
        <v>#N/A</v>
      </c>
      <c r="K5" s="24" t="e">
        <f>IF(AND($V$40&gt;F5,NOT(G5="")),I5,"")</f>
        <v>#N/A</v>
      </c>
      <c r="L5" s="25" t="str">
        <f>IF(G5="","",G5*$V$6*(100/$V$5))</f>
        <v/>
      </c>
      <c r="M5" s="26">
        <v>1</v>
      </c>
      <c r="N5" s="26">
        <v>1</v>
      </c>
      <c r="O5" s="26">
        <f>LOG10(M5)*20</f>
        <v>0</v>
      </c>
      <c r="P5" s="26">
        <v>0</v>
      </c>
      <c r="Q5" s="26">
        <f>LOG10(M5)*20</f>
        <v>0</v>
      </c>
      <c r="R5" s="24" t="str">
        <f t="shared" ref="R5:R36" si="3">IF(F5="","",(F5-(E5*$V$71+$V$72))*100/(MAX($F$5:$F$105)*0.9))</f>
        <v/>
      </c>
      <c r="U5" s="12" t="s">
        <v>28</v>
      </c>
      <c r="V5" s="35">
        <v>88.4</v>
      </c>
    </row>
    <row r="6" spans="1:24" x14ac:dyDescent="0.3">
      <c r="A6" s="20"/>
      <c r="B6" s="66"/>
      <c r="C6" s="66"/>
      <c r="D6" s="66"/>
      <c r="E6" s="31" t="str">
        <f>IF(F6="","",E5+1)</f>
        <v/>
      </c>
      <c r="F6" s="24" t="str">
        <f t="shared" si="0"/>
        <v/>
      </c>
      <c r="G6" s="24" t="str">
        <f>IF(SUM($H5:H$5)&lt;1,C6,"")</f>
        <v/>
      </c>
      <c r="H6" s="24">
        <f t="shared" si="1"/>
        <v>1</v>
      </c>
      <c r="I6" s="24">
        <f t="shared" si="2"/>
        <v>0</v>
      </c>
      <c r="J6" s="24" t="e">
        <f t="shared" ref="J6:J69" si="4">IF(AND($V$40&gt;F6,NOT(G6="")),F6,"")</f>
        <v>#N/A</v>
      </c>
      <c r="K6" s="24" t="e">
        <f t="shared" ref="K6:K69" si="5">IF(AND($V$40&gt;F6,NOT(G6="")),I6,"")</f>
        <v>#N/A</v>
      </c>
      <c r="L6" s="25" t="str">
        <f t="shared" ref="L6:L37" si="6">IF(G6="",L5,F6*$V$6*(100/$V$5))</f>
        <v/>
      </c>
      <c r="M6" s="26">
        <f t="shared" ref="M6:M37" si="7">IF(G6="",M5,(F6-$F$5)/G6)</f>
        <v>1</v>
      </c>
      <c r="N6" s="26">
        <f>IF(G6="",M5,(F6-$F$5)/D6)</f>
        <v>1</v>
      </c>
      <c r="O6" s="26">
        <f t="shared" ref="O6:O23" si="8">LOG10(M6)*20</f>
        <v>0</v>
      </c>
      <c r="P6" s="26">
        <f>LOG10(N6)*20</f>
        <v>0</v>
      </c>
      <c r="Q6" s="26"/>
      <c r="R6" s="24" t="str">
        <f t="shared" si="3"/>
        <v/>
      </c>
      <c r="U6" s="12" t="s">
        <v>29</v>
      </c>
      <c r="V6" s="34" t="e">
        <f>1/((MATCH(MAX(K5:K105),K5:K105)*SUMPRODUCT(J5:J105,K5:K105)-SUM(J5:J105)*SUM(K5:K105))/(MATCH(MAX(K5:K105),K5:K105)*SUMSQ(J5:J105) - SUM(J5:J105)^2))</f>
        <v>#N/A</v>
      </c>
      <c r="X6" s="58"/>
    </row>
    <row r="7" spans="1:24" x14ac:dyDescent="0.3">
      <c r="A7" s="20"/>
      <c r="B7" s="66"/>
      <c r="C7" s="66"/>
      <c r="D7" s="66"/>
      <c r="E7" s="31" t="str">
        <f t="shared" ref="E7:E70" si="9">IF(F7="","",E6+1)</f>
        <v/>
      </c>
      <c r="F7" s="24" t="str">
        <f t="shared" si="0"/>
        <v/>
      </c>
      <c r="G7" s="24" t="str">
        <f>IF(SUM($H$5:H6)&lt;1,C7,"")</f>
        <v/>
      </c>
      <c r="H7" s="24">
        <f t="shared" si="1"/>
        <v>1</v>
      </c>
      <c r="I7" s="24">
        <f t="shared" si="2"/>
        <v>0</v>
      </c>
      <c r="J7" s="24" t="e">
        <f t="shared" si="4"/>
        <v>#N/A</v>
      </c>
      <c r="K7" s="24" t="e">
        <f t="shared" si="5"/>
        <v>#N/A</v>
      </c>
      <c r="L7" s="25" t="str">
        <f t="shared" si="6"/>
        <v/>
      </c>
      <c r="M7" s="26">
        <f t="shared" si="7"/>
        <v>1</v>
      </c>
      <c r="N7" s="26">
        <f t="shared" ref="N7:N23" si="10">IF(G7="",M6,(F7-$F$5)/D7)</f>
        <v>1</v>
      </c>
      <c r="O7" s="26">
        <f t="shared" si="8"/>
        <v>0</v>
      </c>
      <c r="P7" s="26">
        <f t="shared" ref="P7:P23" si="11">LOG10(N7)*20</f>
        <v>0</v>
      </c>
      <c r="Q7" s="26"/>
      <c r="R7" s="24" t="str">
        <f t="shared" si="3"/>
        <v/>
      </c>
    </row>
    <row r="8" spans="1:24" x14ac:dyDescent="0.3">
      <c r="A8" s="20"/>
      <c r="B8" s="66"/>
      <c r="C8" s="66"/>
      <c r="D8" s="66"/>
      <c r="E8" s="31" t="str">
        <f t="shared" si="9"/>
        <v/>
      </c>
      <c r="F8" s="24" t="str">
        <f t="shared" si="0"/>
        <v/>
      </c>
      <c r="G8" s="24" t="str">
        <f>IF(SUM($H$5:H7)&lt;1,C8,"")</f>
        <v/>
      </c>
      <c r="H8" s="24">
        <f t="shared" si="1"/>
        <v>1</v>
      </c>
      <c r="I8" s="24">
        <f t="shared" si="2"/>
        <v>0</v>
      </c>
      <c r="J8" s="24" t="e">
        <f t="shared" si="4"/>
        <v>#N/A</v>
      </c>
      <c r="K8" s="24" t="e">
        <f t="shared" si="5"/>
        <v>#N/A</v>
      </c>
      <c r="L8" s="25" t="str">
        <f t="shared" si="6"/>
        <v/>
      </c>
      <c r="M8" s="26">
        <f t="shared" si="7"/>
        <v>1</v>
      </c>
      <c r="N8" s="26">
        <f t="shared" si="10"/>
        <v>1</v>
      </c>
      <c r="O8" s="26">
        <f t="shared" si="8"/>
        <v>0</v>
      </c>
      <c r="P8" s="26">
        <f t="shared" si="11"/>
        <v>0</v>
      </c>
      <c r="Q8" s="26"/>
      <c r="R8" s="24" t="str">
        <f t="shared" si="3"/>
        <v/>
      </c>
    </row>
    <row r="9" spans="1:24" x14ac:dyDescent="0.3">
      <c r="A9" s="20"/>
      <c r="B9" s="66"/>
      <c r="C9" s="66"/>
      <c r="D9" s="66"/>
      <c r="E9" s="31" t="str">
        <f t="shared" si="9"/>
        <v/>
      </c>
      <c r="F9" s="24" t="str">
        <f t="shared" si="0"/>
        <v/>
      </c>
      <c r="G9" s="24" t="str">
        <f>IF(SUM($H$5:H8)&lt;1,C9,"")</f>
        <v/>
      </c>
      <c r="H9" s="24">
        <f t="shared" si="1"/>
        <v>1</v>
      </c>
      <c r="I9" s="24">
        <f t="shared" si="2"/>
        <v>0</v>
      </c>
      <c r="J9" s="24" t="e">
        <f t="shared" si="4"/>
        <v>#N/A</v>
      </c>
      <c r="K9" s="24" t="e">
        <f t="shared" si="5"/>
        <v>#N/A</v>
      </c>
      <c r="L9" s="25" t="str">
        <f t="shared" si="6"/>
        <v/>
      </c>
      <c r="M9" s="26">
        <f t="shared" si="7"/>
        <v>1</v>
      </c>
      <c r="N9" s="26">
        <f t="shared" si="10"/>
        <v>1</v>
      </c>
      <c r="O9" s="26">
        <f t="shared" si="8"/>
        <v>0</v>
      </c>
      <c r="P9" s="26">
        <f t="shared" si="11"/>
        <v>0</v>
      </c>
      <c r="Q9" s="26"/>
      <c r="R9" s="24" t="str">
        <f t="shared" si="3"/>
        <v/>
      </c>
    </row>
    <row r="10" spans="1:24" x14ac:dyDescent="0.3">
      <c r="A10" s="20"/>
      <c r="B10" s="66"/>
      <c r="C10" s="66"/>
      <c r="D10" s="66"/>
      <c r="E10" s="31" t="str">
        <f t="shared" si="9"/>
        <v/>
      </c>
      <c r="F10" s="24" t="str">
        <f t="shared" si="0"/>
        <v/>
      </c>
      <c r="G10" s="24" t="str">
        <f>IF(SUM($H$5:H9)&lt;1,C10,"")</f>
        <v/>
      </c>
      <c r="H10" s="24">
        <f t="shared" si="1"/>
        <v>1</v>
      </c>
      <c r="I10" s="24">
        <f t="shared" si="2"/>
        <v>0</v>
      </c>
      <c r="J10" s="24" t="e">
        <f t="shared" si="4"/>
        <v>#N/A</v>
      </c>
      <c r="K10" s="24" t="e">
        <f t="shared" si="5"/>
        <v>#N/A</v>
      </c>
      <c r="L10" s="25" t="str">
        <f t="shared" si="6"/>
        <v/>
      </c>
      <c r="M10" s="26">
        <f t="shared" si="7"/>
        <v>1</v>
      </c>
      <c r="N10" s="26">
        <f t="shared" si="10"/>
        <v>1</v>
      </c>
      <c r="O10" s="26">
        <f t="shared" si="8"/>
        <v>0</v>
      </c>
      <c r="P10" s="26">
        <f t="shared" si="11"/>
        <v>0</v>
      </c>
      <c r="Q10" s="26"/>
      <c r="R10" s="24" t="str">
        <f t="shared" si="3"/>
        <v/>
      </c>
      <c r="U10" s="12" t="s">
        <v>101</v>
      </c>
      <c r="V10" s="34" t="e">
        <f>SQRT(V13)*V6</f>
        <v>#N/A</v>
      </c>
      <c r="W10" t="s">
        <v>113</v>
      </c>
    </row>
    <row r="11" spans="1:24" x14ac:dyDescent="0.3">
      <c r="A11" s="20"/>
      <c r="B11" s="66"/>
      <c r="C11" s="66"/>
      <c r="D11" s="66"/>
      <c r="E11" s="31" t="str">
        <f t="shared" si="9"/>
        <v/>
      </c>
      <c r="F11" s="24" t="str">
        <f t="shared" si="0"/>
        <v/>
      </c>
      <c r="G11" s="24" t="str">
        <f>IF(SUM($H$5:H10)&lt;1,C11,"")</f>
        <v/>
      </c>
      <c r="H11" s="24">
        <f t="shared" si="1"/>
        <v>1</v>
      </c>
      <c r="I11" s="24">
        <f t="shared" si="2"/>
        <v>0</v>
      </c>
      <c r="J11" s="24" t="e">
        <f t="shared" si="4"/>
        <v>#N/A</v>
      </c>
      <c r="K11" s="24" t="e">
        <f t="shared" si="5"/>
        <v>#N/A</v>
      </c>
      <c r="L11" s="25" t="str">
        <f t="shared" si="6"/>
        <v/>
      </c>
      <c r="M11" s="26">
        <f t="shared" si="7"/>
        <v>1</v>
      </c>
      <c r="N11" s="26">
        <f t="shared" si="10"/>
        <v>1</v>
      </c>
      <c r="O11" s="26">
        <f t="shared" si="8"/>
        <v>0</v>
      </c>
      <c r="P11" s="26">
        <f t="shared" si="11"/>
        <v>0</v>
      </c>
      <c r="Q11" s="26"/>
      <c r="R11" s="24" t="str">
        <f t="shared" si="3"/>
        <v/>
      </c>
      <c r="U11" s="12" t="s">
        <v>104</v>
      </c>
      <c r="V11" s="34" t="e">
        <f>SQRT(V14-V13)*100/(V15-V16)</f>
        <v>#N/A</v>
      </c>
      <c r="W11" t="s">
        <v>114</v>
      </c>
    </row>
    <row r="12" spans="1:24" x14ac:dyDescent="0.3">
      <c r="A12" s="20"/>
      <c r="B12" s="66"/>
      <c r="C12" s="66"/>
      <c r="D12" s="66"/>
      <c r="E12" s="31" t="str">
        <f t="shared" si="9"/>
        <v/>
      </c>
      <c r="F12" s="24" t="str">
        <f t="shared" si="0"/>
        <v/>
      </c>
      <c r="G12" s="24" t="str">
        <f>IF(SUM($H$5:H11)&lt;1,C12,"")</f>
        <v/>
      </c>
      <c r="H12" s="24">
        <f t="shared" si="1"/>
        <v>1</v>
      </c>
      <c r="I12" s="24">
        <f t="shared" si="2"/>
        <v>0</v>
      </c>
      <c r="J12" s="24" t="e">
        <f t="shared" si="4"/>
        <v>#N/A</v>
      </c>
      <c r="K12" s="24" t="e">
        <f t="shared" si="5"/>
        <v>#N/A</v>
      </c>
      <c r="L12" s="25" t="str">
        <f t="shared" si="6"/>
        <v/>
      </c>
      <c r="M12" s="26">
        <f t="shared" si="7"/>
        <v>1</v>
      </c>
      <c r="N12" s="26">
        <f t="shared" si="10"/>
        <v>1</v>
      </c>
      <c r="O12" s="26">
        <f t="shared" si="8"/>
        <v>0</v>
      </c>
      <c r="P12" s="26">
        <f t="shared" si="11"/>
        <v>0</v>
      </c>
      <c r="Q12" s="26"/>
      <c r="R12" s="24" t="str">
        <f t="shared" si="3"/>
        <v/>
      </c>
    </row>
    <row r="13" spans="1:24" x14ac:dyDescent="0.3">
      <c r="A13" s="20"/>
      <c r="B13" s="66"/>
      <c r="C13" s="66"/>
      <c r="D13" s="66"/>
      <c r="E13" s="31" t="str">
        <f t="shared" si="9"/>
        <v/>
      </c>
      <c r="F13" s="24" t="str">
        <f t="shared" si="0"/>
        <v/>
      </c>
      <c r="G13" s="24" t="str">
        <f>IF(SUM($H$5:H12)&lt;1,C13,"")</f>
        <v/>
      </c>
      <c r="H13" s="24">
        <f t="shared" si="1"/>
        <v>1</v>
      </c>
      <c r="I13" s="24">
        <f t="shared" si="2"/>
        <v>0</v>
      </c>
      <c r="J13" s="24" t="e">
        <f t="shared" si="4"/>
        <v>#N/A</v>
      </c>
      <c r="K13" s="24" t="e">
        <f t="shared" si="5"/>
        <v>#N/A</v>
      </c>
      <c r="L13" s="25" t="str">
        <f t="shared" si="6"/>
        <v/>
      </c>
      <c r="M13" s="26">
        <f t="shared" si="7"/>
        <v>1</v>
      </c>
      <c r="N13" s="26">
        <f t="shared" si="10"/>
        <v>1</v>
      </c>
      <c r="O13" s="26">
        <f t="shared" si="8"/>
        <v>0</v>
      </c>
      <c r="P13" s="26">
        <f t="shared" si="11"/>
        <v>0</v>
      </c>
      <c r="Q13" s="26"/>
      <c r="R13" s="24" t="str">
        <f t="shared" si="3"/>
        <v/>
      </c>
      <c r="U13" s="12" t="s">
        <v>115</v>
      </c>
      <c r="V13" s="34">
        <f>D5^2-C5^2</f>
        <v>0</v>
      </c>
    </row>
    <row r="14" spans="1:24" x14ac:dyDescent="0.3">
      <c r="A14" s="20"/>
      <c r="B14" s="66"/>
      <c r="C14" s="66"/>
      <c r="D14" s="66"/>
      <c r="E14" s="31" t="str">
        <f t="shared" si="9"/>
        <v/>
      </c>
      <c r="F14" s="24" t="str">
        <f t="shared" si="0"/>
        <v/>
      </c>
      <c r="G14" s="24" t="str">
        <f>IF(SUM($H$5:H13)&lt;1,C14,"")</f>
        <v/>
      </c>
      <c r="H14" s="24">
        <f t="shared" si="1"/>
        <v>1</v>
      </c>
      <c r="I14" s="24">
        <f t="shared" si="2"/>
        <v>0</v>
      </c>
      <c r="J14" s="24" t="e">
        <f t="shared" si="4"/>
        <v>#N/A</v>
      </c>
      <c r="K14" s="24" t="e">
        <f t="shared" si="5"/>
        <v>#N/A</v>
      </c>
      <c r="L14" s="25" t="str">
        <f t="shared" si="6"/>
        <v/>
      </c>
      <c r="M14" s="26">
        <f t="shared" si="7"/>
        <v>1</v>
      </c>
      <c r="N14" s="26">
        <f t="shared" si="10"/>
        <v>1</v>
      </c>
      <c r="O14" s="26">
        <f t="shared" si="8"/>
        <v>0</v>
      </c>
      <c r="P14" s="26">
        <f t="shared" si="11"/>
        <v>0</v>
      </c>
      <c r="Q14" s="26"/>
      <c r="R14" s="24" t="str">
        <f t="shared" si="3"/>
        <v/>
      </c>
      <c r="U14" s="12" t="s">
        <v>116</v>
      </c>
      <c r="V14" s="34" t="e">
        <f>INDEX(D5:D105,(MATCH(MAX(F5:F105),F5:F105,0))*0.5,0)^2-INDEX(C5:C105,(MATCH(MAX(F5:F105),F5:F105,0))*0.5,0)^2</f>
        <v>#N/A</v>
      </c>
    </row>
    <row r="15" spans="1:24" x14ac:dyDescent="0.3">
      <c r="A15" s="20"/>
      <c r="B15" s="66"/>
      <c r="C15" s="66"/>
      <c r="D15" s="66"/>
      <c r="E15" s="31" t="str">
        <f t="shared" si="9"/>
        <v/>
      </c>
      <c r="F15" s="24" t="str">
        <f t="shared" si="0"/>
        <v/>
      </c>
      <c r="G15" s="24" t="str">
        <f>IF(SUM($H$5:H14)&lt;1,C15,"")</f>
        <v/>
      </c>
      <c r="H15" s="24">
        <f t="shared" si="1"/>
        <v>1</v>
      </c>
      <c r="I15" s="24">
        <f t="shared" si="2"/>
        <v>0</v>
      </c>
      <c r="J15" s="24" t="e">
        <f t="shared" si="4"/>
        <v>#N/A</v>
      </c>
      <c r="K15" s="24" t="e">
        <f t="shared" si="5"/>
        <v>#N/A</v>
      </c>
      <c r="L15" s="25" t="str">
        <f t="shared" si="6"/>
        <v/>
      </c>
      <c r="M15" s="26">
        <f t="shared" si="7"/>
        <v>1</v>
      </c>
      <c r="N15" s="26">
        <f t="shared" si="10"/>
        <v>1</v>
      </c>
      <c r="O15" s="26">
        <f t="shared" si="8"/>
        <v>0</v>
      </c>
      <c r="P15" s="26">
        <f t="shared" si="11"/>
        <v>0</v>
      </c>
      <c r="Q15" s="26"/>
      <c r="R15" s="24" t="str">
        <f t="shared" si="3"/>
        <v/>
      </c>
      <c r="U15" s="12" t="s">
        <v>117</v>
      </c>
      <c r="V15" s="34" t="e">
        <f>INDEX(B5:B105,(MATCH(MAX(F5:F105),F5:F105,0))*0.5,0)</f>
        <v>#N/A</v>
      </c>
    </row>
    <row r="16" spans="1:24" x14ac:dyDescent="0.3">
      <c r="A16" s="20"/>
      <c r="B16" s="66"/>
      <c r="C16" s="66"/>
      <c r="D16" s="66"/>
      <c r="E16" s="31" t="str">
        <f t="shared" si="9"/>
        <v/>
      </c>
      <c r="F16" s="24" t="str">
        <f t="shared" si="0"/>
        <v/>
      </c>
      <c r="G16" s="24" t="str">
        <f>IF(SUM($H$5:H15)&lt;1,C16,"")</f>
        <v/>
      </c>
      <c r="H16" s="24">
        <f t="shared" si="1"/>
        <v>1</v>
      </c>
      <c r="I16" s="24">
        <f t="shared" si="2"/>
        <v>0</v>
      </c>
      <c r="J16" s="24" t="e">
        <f t="shared" si="4"/>
        <v>#N/A</v>
      </c>
      <c r="K16" s="24" t="e">
        <f t="shared" si="5"/>
        <v>#N/A</v>
      </c>
      <c r="L16" s="25" t="str">
        <f t="shared" si="6"/>
        <v/>
      </c>
      <c r="M16" s="26">
        <f t="shared" si="7"/>
        <v>1</v>
      </c>
      <c r="N16" s="26">
        <f t="shared" si="10"/>
        <v>1</v>
      </c>
      <c r="O16" s="26">
        <f t="shared" si="8"/>
        <v>0</v>
      </c>
      <c r="P16" s="26">
        <f t="shared" si="11"/>
        <v>0</v>
      </c>
      <c r="Q16" s="26"/>
      <c r="R16" s="24" t="str">
        <f t="shared" si="3"/>
        <v/>
      </c>
      <c r="U16" s="12" t="s">
        <v>118</v>
      </c>
      <c r="V16" s="34">
        <f>B5</f>
        <v>0</v>
      </c>
    </row>
    <row r="17" spans="1:23" x14ac:dyDescent="0.3">
      <c r="A17" s="20"/>
      <c r="B17" s="66"/>
      <c r="C17" s="66"/>
      <c r="D17" s="66"/>
      <c r="E17" s="31" t="str">
        <f t="shared" si="9"/>
        <v/>
      </c>
      <c r="F17" s="24" t="str">
        <f t="shared" si="0"/>
        <v/>
      </c>
      <c r="G17" s="24" t="str">
        <f>IF(SUM($H$5:H16)&lt;1,C17,"")</f>
        <v/>
      </c>
      <c r="H17" s="24">
        <f t="shared" si="1"/>
        <v>1</v>
      </c>
      <c r="I17" s="24">
        <f t="shared" si="2"/>
        <v>0</v>
      </c>
      <c r="J17" s="24" t="e">
        <f t="shared" si="4"/>
        <v>#N/A</v>
      </c>
      <c r="K17" s="24" t="e">
        <f t="shared" si="5"/>
        <v>#N/A</v>
      </c>
      <c r="L17" s="25" t="str">
        <f t="shared" si="6"/>
        <v/>
      </c>
      <c r="M17" s="26">
        <f t="shared" si="7"/>
        <v>1</v>
      </c>
      <c r="N17" s="26">
        <f t="shared" si="10"/>
        <v>1</v>
      </c>
      <c r="O17" s="26">
        <f t="shared" si="8"/>
        <v>0</v>
      </c>
      <c r="P17" s="26">
        <f t="shared" si="11"/>
        <v>0</v>
      </c>
      <c r="Q17" s="26"/>
      <c r="R17" s="24" t="str">
        <f t="shared" si="3"/>
        <v/>
      </c>
    </row>
    <row r="18" spans="1:23" x14ac:dyDescent="0.3">
      <c r="A18" s="20"/>
      <c r="B18" s="66"/>
      <c r="C18" s="66"/>
      <c r="D18" s="66"/>
      <c r="E18" s="31" t="str">
        <f t="shared" si="9"/>
        <v/>
      </c>
      <c r="F18" s="24" t="str">
        <f t="shared" si="0"/>
        <v/>
      </c>
      <c r="G18" s="24" t="str">
        <f>IF(SUM($H$5:H17)&lt;1,C18,"")</f>
        <v/>
      </c>
      <c r="H18" s="24">
        <f t="shared" si="1"/>
        <v>1</v>
      </c>
      <c r="I18" s="24">
        <f t="shared" si="2"/>
        <v>0</v>
      </c>
      <c r="J18" s="24" t="e">
        <f t="shared" si="4"/>
        <v>#N/A</v>
      </c>
      <c r="K18" s="24" t="e">
        <f t="shared" si="5"/>
        <v>#N/A</v>
      </c>
      <c r="L18" s="25" t="str">
        <f t="shared" si="6"/>
        <v/>
      </c>
      <c r="M18" s="26">
        <f t="shared" si="7"/>
        <v>1</v>
      </c>
      <c r="N18" s="26">
        <f t="shared" si="10"/>
        <v>1</v>
      </c>
      <c r="O18" s="26">
        <f t="shared" si="8"/>
        <v>0</v>
      </c>
      <c r="P18" s="26">
        <f t="shared" si="11"/>
        <v>0</v>
      </c>
      <c r="Q18" s="26"/>
      <c r="R18" s="24" t="str">
        <f t="shared" si="3"/>
        <v/>
      </c>
    </row>
    <row r="19" spans="1:23" x14ac:dyDescent="0.3">
      <c r="A19" s="20"/>
      <c r="B19" s="66"/>
      <c r="C19" s="66"/>
      <c r="D19" s="66"/>
      <c r="E19" s="31" t="str">
        <f t="shared" si="9"/>
        <v/>
      </c>
      <c r="F19" s="24" t="str">
        <f t="shared" si="0"/>
        <v/>
      </c>
      <c r="G19" s="24" t="str">
        <f>IF(SUM($H$5:H18)&lt;1,C19,"")</f>
        <v/>
      </c>
      <c r="H19" s="24">
        <f t="shared" si="1"/>
        <v>1</v>
      </c>
      <c r="I19" s="24">
        <f t="shared" si="2"/>
        <v>0</v>
      </c>
      <c r="J19" s="24" t="e">
        <f t="shared" si="4"/>
        <v>#N/A</v>
      </c>
      <c r="K19" s="24" t="e">
        <f t="shared" si="5"/>
        <v>#N/A</v>
      </c>
      <c r="L19" s="25" t="str">
        <f t="shared" si="6"/>
        <v/>
      </c>
      <c r="M19" s="26">
        <f t="shared" si="7"/>
        <v>1</v>
      </c>
      <c r="N19" s="26">
        <f t="shared" si="10"/>
        <v>1</v>
      </c>
      <c r="O19" s="26">
        <f t="shared" si="8"/>
        <v>0</v>
      </c>
      <c r="P19" s="26">
        <f t="shared" si="11"/>
        <v>0</v>
      </c>
      <c r="Q19" s="26"/>
      <c r="R19" s="24" t="str">
        <f t="shared" si="3"/>
        <v/>
      </c>
    </row>
    <row r="20" spans="1:23" x14ac:dyDescent="0.3">
      <c r="A20" s="20"/>
      <c r="B20" s="66"/>
      <c r="C20" s="66"/>
      <c r="D20" s="66"/>
      <c r="E20" s="31" t="str">
        <f t="shared" si="9"/>
        <v/>
      </c>
      <c r="F20" s="24" t="str">
        <f t="shared" si="0"/>
        <v/>
      </c>
      <c r="G20" s="24" t="str">
        <f>IF(SUM($H$5:H19)&lt;1,C20,"")</f>
        <v/>
      </c>
      <c r="H20" s="24">
        <f t="shared" si="1"/>
        <v>1</v>
      </c>
      <c r="I20" s="24">
        <f t="shared" si="2"/>
        <v>0</v>
      </c>
      <c r="J20" s="24" t="e">
        <f t="shared" si="4"/>
        <v>#N/A</v>
      </c>
      <c r="K20" s="24" t="e">
        <f t="shared" si="5"/>
        <v>#N/A</v>
      </c>
      <c r="L20" s="25" t="str">
        <f t="shared" si="6"/>
        <v/>
      </c>
      <c r="M20" s="26">
        <f t="shared" si="7"/>
        <v>1</v>
      </c>
      <c r="N20" s="26">
        <f t="shared" si="10"/>
        <v>1</v>
      </c>
      <c r="O20" s="26">
        <f t="shared" si="8"/>
        <v>0</v>
      </c>
      <c r="P20" s="26">
        <f t="shared" si="11"/>
        <v>0</v>
      </c>
      <c r="Q20" s="26"/>
      <c r="R20" s="24" t="str">
        <f t="shared" si="3"/>
        <v/>
      </c>
    </row>
    <row r="21" spans="1:23" x14ac:dyDescent="0.3">
      <c r="A21" s="20"/>
      <c r="B21" s="66"/>
      <c r="C21" s="66"/>
      <c r="D21" s="66"/>
      <c r="E21" s="31" t="str">
        <f t="shared" si="9"/>
        <v/>
      </c>
      <c r="F21" s="24" t="str">
        <f t="shared" si="0"/>
        <v/>
      </c>
      <c r="G21" s="24" t="str">
        <f>IF(SUM($H$5:H20)&lt;1,C21,"")</f>
        <v/>
      </c>
      <c r="H21" s="24">
        <f t="shared" si="1"/>
        <v>1</v>
      </c>
      <c r="I21" s="24">
        <f t="shared" si="2"/>
        <v>0</v>
      </c>
      <c r="J21" s="24" t="e">
        <f t="shared" si="4"/>
        <v>#N/A</v>
      </c>
      <c r="K21" s="24" t="e">
        <f t="shared" si="5"/>
        <v>#N/A</v>
      </c>
      <c r="L21" s="25" t="str">
        <f t="shared" si="6"/>
        <v/>
      </c>
      <c r="M21" s="26">
        <f t="shared" si="7"/>
        <v>1</v>
      </c>
      <c r="N21" s="26">
        <f t="shared" si="10"/>
        <v>1</v>
      </c>
      <c r="O21" s="26">
        <f t="shared" si="8"/>
        <v>0</v>
      </c>
      <c r="P21" s="26">
        <f t="shared" si="11"/>
        <v>0</v>
      </c>
      <c r="Q21" s="26"/>
      <c r="R21" s="24" t="str">
        <f t="shared" si="3"/>
        <v/>
      </c>
    </row>
    <row r="22" spans="1:23" x14ac:dyDescent="0.3">
      <c r="A22" s="20"/>
      <c r="B22" s="66"/>
      <c r="C22" s="66"/>
      <c r="D22" s="66"/>
      <c r="E22" s="31" t="str">
        <f t="shared" si="9"/>
        <v/>
      </c>
      <c r="F22" s="24" t="str">
        <f t="shared" si="0"/>
        <v/>
      </c>
      <c r="G22" s="24" t="str">
        <f>IF(SUM($H$5:H21)&lt;1,C22,"")</f>
        <v/>
      </c>
      <c r="H22" s="24">
        <f t="shared" si="1"/>
        <v>1</v>
      </c>
      <c r="I22" s="24">
        <f t="shared" si="2"/>
        <v>0</v>
      </c>
      <c r="J22" s="24" t="e">
        <f t="shared" si="4"/>
        <v>#N/A</v>
      </c>
      <c r="K22" s="24" t="e">
        <f t="shared" si="5"/>
        <v>#N/A</v>
      </c>
      <c r="L22" s="25" t="str">
        <f t="shared" si="6"/>
        <v/>
      </c>
      <c r="M22" s="26">
        <f t="shared" si="7"/>
        <v>1</v>
      </c>
      <c r="N22" s="26">
        <f t="shared" si="10"/>
        <v>1</v>
      </c>
      <c r="O22" s="26">
        <f t="shared" si="8"/>
        <v>0</v>
      </c>
      <c r="P22" s="26">
        <f t="shared" si="11"/>
        <v>0</v>
      </c>
      <c r="Q22" s="26"/>
      <c r="R22" s="24" t="str">
        <f t="shared" si="3"/>
        <v/>
      </c>
    </row>
    <row r="23" spans="1:23" x14ac:dyDescent="0.3">
      <c r="A23" s="20"/>
      <c r="B23" s="66"/>
      <c r="C23" s="66"/>
      <c r="D23" s="66"/>
      <c r="E23" s="31" t="str">
        <f t="shared" si="9"/>
        <v/>
      </c>
      <c r="F23" s="24" t="str">
        <f t="shared" si="0"/>
        <v/>
      </c>
      <c r="G23" s="24" t="str">
        <f>IF(SUM($H$5:H22)&lt;1,C23,"")</f>
        <v/>
      </c>
      <c r="H23" s="24">
        <f t="shared" si="1"/>
        <v>1</v>
      </c>
      <c r="I23" s="24">
        <f t="shared" si="2"/>
        <v>0</v>
      </c>
      <c r="J23" s="24" t="e">
        <f t="shared" si="4"/>
        <v>#N/A</v>
      </c>
      <c r="K23" s="24" t="e">
        <f t="shared" si="5"/>
        <v>#N/A</v>
      </c>
      <c r="L23" s="25" t="str">
        <f t="shared" si="6"/>
        <v/>
      </c>
      <c r="M23" s="26">
        <f t="shared" si="7"/>
        <v>1</v>
      </c>
      <c r="N23" s="26">
        <f t="shared" si="10"/>
        <v>1</v>
      </c>
      <c r="O23" s="26">
        <f t="shared" si="8"/>
        <v>0</v>
      </c>
      <c r="P23" s="26">
        <f t="shared" si="11"/>
        <v>0</v>
      </c>
      <c r="Q23" s="26"/>
      <c r="R23" s="24" t="str">
        <f t="shared" si="3"/>
        <v/>
      </c>
    </row>
    <row r="24" spans="1:23" x14ac:dyDescent="0.3">
      <c r="A24" s="20"/>
      <c r="B24" s="66"/>
      <c r="C24" s="66"/>
      <c r="D24" s="66"/>
      <c r="E24" s="31" t="str">
        <f t="shared" si="9"/>
        <v/>
      </c>
      <c r="F24" s="24" t="str">
        <f t="shared" si="0"/>
        <v/>
      </c>
      <c r="G24" s="24" t="str">
        <f>IF(SUM($H$5:H23)&lt;1,C24,"")</f>
        <v/>
      </c>
      <c r="H24" s="24">
        <f t="shared" si="1"/>
        <v>1</v>
      </c>
      <c r="I24" s="24">
        <f t="shared" si="2"/>
        <v>0</v>
      </c>
      <c r="J24" s="24" t="e">
        <f t="shared" si="4"/>
        <v>#N/A</v>
      </c>
      <c r="K24" s="24" t="e">
        <f t="shared" si="5"/>
        <v>#N/A</v>
      </c>
      <c r="L24" s="25" t="str">
        <f t="shared" si="6"/>
        <v/>
      </c>
      <c r="M24" s="26">
        <f t="shared" si="7"/>
        <v>1</v>
      </c>
      <c r="N24" s="26"/>
      <c r="O24" s="26"/>
      <c r="P24" s="26"/>
      <c r="Q24" s="26"/>
      <c r="R24" s="24" t="str">
        <f t="shared" si="3"/>
        <v/>
      </c>
      <c r="U24" s="14" t="s">
        <v>16</v>
      </c>
      <c r="V24" s="28" t="s">
        <v>13</v>
      </c>
      <c r="W24" s="28" t="s">
        <v>14</v>
      </c>
    </row>
    <row r="25" spans="1:23" x14ac:dyDescent="0.3">
      <c r="A25" s="20"/>
      <c r="B25" s="66"/>
      <c r="C25" s="66"/>
      <c r="D25" s="66"/>
      <c r="E25" s="31" t="str">
        <f t="shared" si="9"/>
        <v/>
      </c>
      <c r="F25" s="24" t="str">
        <f t="shared" si="0"/>
        <v/>
      </c>
      <c r="G25" s="24" t="str">
        <f>IF(SUM($H$5:H24)&lt;1,C25,"")</f>
        <v/>
      </c>
      <c r="H25" s="24">
        <f t="shared" si="1"/>
        <v>1</v>
      </c>
      <c r="I25" s="24">
        <f t="shared" si="2"/>
        <v>0</v>
      </c>
      <c r="J25" s="24" t="e">
        <f t="shared" si="4"/>
        <v>#N/A</v>
      </c>
      <c r="K25" s="24" t="e">
        <f t="shared" si="5"/>
        <v>#N/A</v>
      </c>
      <c r="L25" s="25" t="str">
        <f t="shared" si="6"/>
        <v/>
      </c>
      <c r="M25" s="26">
        <f t="shared" si="7"/>
        <v>1</v>
      </c>
      <c r="N25" s="26"/>
      <c r="O25" s="26"/>
      <c r="P25" s="26"/>
      <c r="Q25" s="26"/>
      <c r="R25" s="24" t="str">
        <f t="shared" si="3"/>
        <v/>
      </c>
      <c r="T25" s="70"/>
      <c r="U25" s="12" t="s">
        <v>15</v>
      </c>
      <c r="V25" s="29">
        <f>MIN(L4:L104)</f>
        <v>0</v>
      </c>
      <c r="W25" s="29">
        <f>MIN(M4:M104)</f>
        <v>1</v>
      </c>
    </row>
    <row r="26" spans="1:23" x14ac:dyDescent="0.3">
      <c r="A26" s="20"/>
      <c r="B26" s="66"/>
      <c r="C26" s="66"/>
      <c r="D26" s="66"/>
      <c r="E26" s="31" t="str">
        <f t="shared" si="9"/>
        <v/>
      </c>
      <c r="F26" s="24" t="str">
        <f t="shared" si="0"/>
        <v/>
      </c>
      <c r="G26" s="24" t="str">
        <f>IF(SUM($H$5:H25)&lt;1,C26,"")</f>
        <v/>
      </c>
      <c r="H26" s="24">
        <f t="shared" si="1"/>
        <v>1</v>
      </c>
      <c r="I26" s="24">
        <f t="shared" si="2"/>
        <v>0</v>
      </c>
      <c r="J26" s="24" t="e">
        <f t="shared" si="4"/>
        <v>#N/A</v>
      </c>
      <c r="K26" s="24" t="e">
        <f t="shared" si="5"/>
        <v>#N/A</v>
      </c>
      <c r="L26" s="25" t="str">
        <f t="shared" si="6"/>
        <v/>
      </c>
      <c r="M26" s="26">
        <f t="shared" si="7"/>
        <v>1</v>
      </c>
      <c r="N26" s="26"/>
      <c r="O26" s="26"/>
      <c r="P26" s="26"/>
      <c r="Q26" s="26"/>
      <c r="R26" s="24" t="str">
        <f t="shared" si="3"/>
        <v/>
      </c>
      <c r="T26" s="70"/>
      <c r="U26" s="12" t="s">
        <v>22</v>
      </c>
      <c r="V26" s="29">
        <f>MAX(L6:L105)</f>
        <v>0</v>
      </c>
      <c r="W26" s="29">
        <f>MAX(M6:M105)</f>
        <v>1</v>
      </c>
    </row>
    <row r="27" spans="1:23" x14ac:dyDescent="0.3">
      <c r="A27" s="20"/>
      <c r="B27" s="66"/>
      <c r="C27" s="66"/>
      <c r="D27" s="66"/>
      <c r="E27" s="31" t="str">
        <f t="shared" si="9"/>
        <v/>
      </c>
      <c r="F27" s="24" t="str">
        <f t="shared" si="0"/>
        <v/>
      </c>
      <c r="G27" s="24" t="str">
        <f>IF(SUM($H$5:H26)&lt;1,C27,"")</f>
        <v/>
      </c>
      <c r="H27" s="24">
        <f t="shared" si="1"/>
        <v>1</v>
      </c>
      <c r="I27" s="24">
        <f t="shared" si="2"/>
        <v>0</v>
      </c>
      <c r="J27" s="24" t="e">
        <f t="shared" si="4"/>
        <v>#N/A</v>
      </c>
      <c r="K27" s="24" t="e">
        <f t="shared" si="5"/>
        <v>#N/A</v>
      </c>
      <c r="L27" s="25" t="str">
        <f t="shared" si="6"/>
        <v/>
      </c>
      <c r="M27" s="26">
        <f t="shared" si="7"/>
        <v>1</v>
      </c>
      <c r="N27" s="26"/>
      <c r="O27" s="26"/>
      <c r="P27" s="26"/>
      <c r="Q27" s="26"/>
      <c r="R27" s="24" t="str">
        <f t="shared" si="3"/>
        <v/>
      </c>
      <c r="T27" s="70"/>
      <c r="U27" s="67" t="s">
        <v>23</v>
      </c>
      <c r="V27" s="29">
        <v>1</v>
      </c>
      <c r="W27" s="29">
        <f>SQRT(V27)</f>
        <v>1</v>
      </c>
    </row>
    <row r="28" spans="1:23" x14ac:dyDescent="0.3">
      <c r="A28" s="20"/>
      <c r="B28" s="66"/>
      <c r="C28" s="66"/>
      <c r="D28" s="66"/>
      <c r="E28" s="31" t="str">
        <f t="shared" si="9"/>
        <v/>
      </c>
      <c r="F28" s="24" t="str">
        <f t="shared" si="0"/>
        <v/>
      </c>
      <c r="G28" s="24" t="str">
        <f>IF(SUM($H$5:H27)&lt;1,C28,"")</f>
        <v/>
      </c>
      <c r="H28" s="24">
        <f t="shared" si="1"/>
        <v>1</v>
      </c>
      <c r="I28" s="24">
        <f t="shared" si="2"/>
        <v>0</v>
      </c>
      <c r="J28" s="24" t="e">
        <f t="shared" si="4"/>
        <v>#N/A</v>
      </c>
      <c r="K28" s="24" t="e">
        <f t="shared" si="5"/>
        <v>#N/A</v>
      </c>
      <c r="L28" s="25" t="str">
        <f t="shared" si="6"/>
        <v/>
      </c>
      <c r="M28" s="26">
        <f t="shared" si="7"/>
        <v>1</v>
      </c>
      <c r="N28" s="26"/>
      <c r="O28" s="26"/>
      <c r="P28" s="26"/>
      <c r="Q28" s="26"/>
      <c r="R28" s="24" t="str">
        <f t="shared" si="3"/>
        <v/>
      </c>
      <c r="T28" s="70"/>
      <c r="U28" s="67"/>
      <c r="V28" s="29">
        <v>1000000</v>
      </c>
      <c r="W28" s="29">
        <f>SQRT(V28)</f>
        <v>1000</v>
      </c>
    </row>
    <row r="29" spans="1:23" x14ac:dyDescent="0.3">
      <c r="A29" s="20"/>
      <c r="B29" s="66"/>
      <c r="C29" s="66"/>
      <c r="D29" s="66"/>
      <c r="E29" s="31" t="str">
        <f t="shared" si="9"/>
        <v/>
      </c>
      <c r="F29" s="24" t="str">
        <f t="shared" si="0"/>
        <v/>
      </c>
      <c r="G29" s="24" t="str">
        <f>IF(SUM($H$5:H28)&lt;1,C29,"")</f>
        <v/>
      </c>
      <c r="H29" s="24">
        <f t="shared" si="1"/>
        <v>1</v>
      </c>
      <c r="I29" s="24">
        <f t="shared" si="2"/>
        <v>0</v>
      </c>
      <c r="J29" s="24" t="e">
        <f t="shared" si="4"/>
        <v>#N/A</v>
      </c>
      <c r="K29" s="24" t="e">
        <f t="shared" si="5"/>
        <v>#N/A</v>
      </c>
      <c r="L29" s="25" t="str">
        <f t="shared" si="6"/>
        <v/>
      </c>
      <c r="M29" s="26">
        <f t="shared" si="7"/>
        <v>1</v>
      </c>
      <c r="N29" s="26"/>
      <c r="O29" s="26"/>
      <c r="P29" s="26"/>
      <c r="Q29" s="26"/>
      <c r="R29" s="24" t="str">
        <f t="shared" si="3"/>
        <v/>
      </c>
    </row>
    <row r="30" spans="1:23" x14ac:dyDescent="0.3">
      <c r="A30" s="20"/>
      <c r="B30" s="66"/>
      <c r="C30" s="66"/>
      <c r="D30" s="66"/>
      <c r="E30" s="31" t="str">
        <f t="shared" si="9"/>
        <v/>
      </c>
      <c r="F30" s="24" t="str">
        <f t="shared" si="0"/>
        <v/>
      </c>
      <c r="G30" s="24" t="str">
        <f>IF(SUM($H$5:H29)&lt;1,C30,"")</f>
        <v/>
      </c>
      <c r="H30" s="24">
        <f t="shared" si="1"/>
        <v>1</v>
      </c>
      <c r="I30" s="24">
        <f t="shared" si="2"/>
        <v>0</v>
      </c>
      <c r="J30" s="24" t="e">
        <f t="shared" si="4"/>
        <v>#N/A</v>
      </c>
      <c r="K30" s="24" t="e">
        <f t="shared" si="5"/>
        <v>#N/A</v>
      </c>
      <c r="L30" s="25" t="str">
        <f t="shared" si="6"/>
        <v/>
      </c>
      <c r="M30" s="26">
        <f t="shared" si="7"/>
        <v>1</v>
      </c>
      <c r="N30" s="26"/>
      <c r="O30" s="26"/>
      <c r="P30" s="26"/>
      <c r="Q30" s="26"/>
      <c r="R30" s="24" t="str">
        <f t="shared" si="3"/>
        <v/>
      </c>
    </row>
    <row r="31" spans="1:23" x14ac:dyDescent="0.3">
      <c r="A31" s="20"/>
      <c r="B31" s="66"/>
      <c r="C31" s="66"/>
      <c r="D31" s="66"/>
      <c r="E31" s="31" t="str">
        <f t="shared" si="9"/>
        <v/>
      </c>
      <c r="F31" s="24" t="str">
        <f t="shared" si="0"/>
        <v/>
      </c>
      <c r="G31" s="24" t="str">
        <f>IF(SUM($H$5:H30)&lt;1,C31,"")</f>
        <v/>
      </c>
      <c r="H31" s="24">
        <f t="shared" si="1"/>
        <v>1</v>
      </c>
      <c r="I31" s="24">
        <f t="shared" si="2"/>
        <v>0</v>
      </c>
      <c r="J31" s="24" t="e">
        <f t="shared" si="4"/>
        <v>#N/A</v>
      </c>
      <c r="K31" s="24" t="e">
        <f t="shared" si="5"/>
        <v>#N/A</v>
      </c>
      <c r="L31" s="25" t="str">
        <f t="shared" si="6"/>
        <v/>
      </c>
      <c r="M31" s="26">
        <f t="shared" si="7"/>
        <v>1</v>
      </c>
      <c r="N31" s="26"/>
      <c r="O31" s="26"/>
      <c r="P31" s="26"/>
      <c r="Q31" s="26"/>
      <c r="R31" s="24" t="str">
        <f t="shared" si="3"/>
        <v/>
      </c>
    </row>
    <row r="32" spans="1:23" x14ac:dyDescent="0.3">
      <c r="A32" s="20"/>
      <c r="B32" s="66"/>
      <c r="C32" s="66"/>
      <c r="D32" s="66"/>
      <c r="E32" s="31" t="str">
        <f t="shared" si="9"/>
        <v/>
      </c>
      <c r="F32" s="24" t="str">
        <f t="shared" si="0"/>
        <v/>
      </c>
      <c r="G32" s="24" t="str">
        <f>IF(SUM($H$5:H31)&lt;1,C32,"")</f>
        <v/>
      </c>
      <c r="H32" s="24">
        <f t="shared" si="1"/>
        <v>1</v>
      </c>
      <c r="I32" s="24">
        <f t="shared" si="2"/>
        <v>0</v>
      </c>
      <c r="J32" s="24" t="e">
        <f t="shared" si="4"/>
        <v>#N/A</v>
      </c>
      <c r="K32" s="24" t="e">
        <f t="shared" si="5"/>
        <v>#N/A</v>
      </c>
      <c r="L32" s="25" t="str">
        <f t="shared" si="6"/>
        <v/>
      </c>
      <c r="M32" s="26">
        <f t="shared" si="7"/>
        <v>1</v>
      </c>
      <c r="N32" s="26"/>
      <c r="O32" s="26"/>
      <c r="P32" s="26"/>
      <c r="Q32" s="26"/>
      <c r="R32" s="24" t="str">
        <f t="shared" si="3"/>
        <v/>
      </c>
    </row>
    <row r="33" spans="1:23" x14ac:dyDescent="0.3">
      <c r="A33" s="20"/>
      <c r="B33" s="66"/>
      <c r="C33" s="66"/>
      <c r="D33" s="66"/>
      <c r="E33" s="31" t="str">
        <f t="shared" si="9"/>
        <v/>
      </c>
      <c r="F33" s="24" t="str">
        <f t="shared" si="0"/>
        <v/>
      </c>
      <c r="G33" s="24" t="str">
        <f>IF(SUM($H$5:H32)&lt;1,C33,"")</f>
        <v/>
      </c>
      <c r="H33" s="24">
        <f t="shared" si="1"/>
        <v>1</v>
      </c>
      <c r="I33" s="24">
        <f t="shared" si="2"/>
        <v>0</v>
      </c>
      <c r="J33" s="24" t="e">
        <f t="shared" si="4"/>
        <v>#N/A</v>
      </c>
      <c r="K33" s="24" t="e">
        <f t="shared" si="5"/>
        <v>#N/A</v>
      </c>
      <c r="L33" s="25" t="str">
        <f t="shared" si="6"/>
        <v/>
      </c>
      <c r="M33" s="26">
        <f t="shared" si="7"/>
        <v>1</v>
      </c>
      <c r="N33" s="26"/>
      <c r="O33" s="26"/>
      <c r="P33" s="26"/>
      <c r="Q33" s="26"/>
      <c r="R33" s="24" t="str">
        <f t="shared" si="3"/>
        <v/>
      </c>
    </row>
    <row r="34" spans="1:23" x14ac:dyDescent="0.3">
      <c r="A34" s="20"/>
      <c r="B34" s="66"/>
      <c r="C34" s="66"/>
      <c r="D34" s="66"/>
      <c r="E34" s="31" t="str">
        <f t="shared" si="9"/>
        <v/>
      </c>
      <c r="F34" s="24" t="str">
        <f t="shared" si="0"/>
        <v/>
      </c>
      <c r="G34" s="24" t="str">
        <f>IF(SUM($H$5:H33)&lt;1,C34,"")</f>
        <v/>
      </c>
      <c r="H34" s="24">
        <f t="shared" si="1"/>
        <v>1</v>
      </c>
      <c r="I34" s="24">
        <f t="shared" si="2"/>
        <v>0</v>
      </c>
      <c r="J34" s="24" t="e">
        <f t="shared" si="4"/>
        <v>#N/A</v>
      </c>
      <c r="K34" s="24" t="e">
        <f t="shared" si="5"/>
        <v>#N/A</v>
      </c>
      <c r="L34" s="25" t="str">
        <f t="shared" si="6"/>
        <v/>
      </c>
      <c r="M34" s="26">
        <f t="shared" si="7"/>
        <v>1</v>
      </c>
      <c r="N34" s="26"/>
      <c r="O34" s="26"/>
      <c r="P34" s="26"/>
      <c r="Q34" s="26"/>
      <c r="R34" s="24" t="str">
        <f t="shared" si="3"/>
        <v/>
      </c>
    </row>
    <row r="35" spans="1:23" x14ac:dyDescent="0.3">
      <c r="A35" s="20"/>
      <c r="B35" s="66"/>
      <c r="C35" s="66"/>
      <c r="D35" s="66"/>
      <c r="E35" s="31" t="str">
        <f t="shared" si="9"/>
        <v/>
      </c>
      <c r="F35" s="24" t="str">
        <f t="shared" si="0"/>
        <v/>
      </c>
      <c r="G35" s="24" t="str">
        <f>IF(SUM($H$5:H34)&lt;1,C35,"")</f>
        <v/>
      </c>
      <c r="H35" s="24">
        <f t="shared" si="1"/>
        <v>1</v>
      </c>
      <c r="I35" s="24">
        <f t="shared" si="2"/>
        <v>0</v>
      </c>
      <c r="J35" s="24" t="e">
        <f t="shared" si="4"/>
        <v>#N/A</v>
      </c>
      <c r="K35" s="24" t="e">
        <f t="shared" si="5"/>
        <v>#N/A</v>
      </c>
      <c r="L35" s="25" t="str">
        <f t="shared" si="6"/>
        <v/>
      </c>
      <c r="M35" s="26">
        <f t="shared" si="7"/>
        <v>1</v>
      </c>
      <c r="N35" s="26"/>
      <c r="O35" s="26"/>
      <c r="P35" s="26"/>
      <c r="Q35" s="26"/>
      <c r="R35" s="24" t="str">
        <f t="shared" si="3"/>
        <v/>
      </c>
    </row>
    <row r="36" spans="1:23" x14ac:dyDescent="0.3">
      <c r="A36" s="20"/>
      <c r="B36" s="66"/>
      <c r="C36" s="66"/>
      <c r="D36" s="66"/>
      <c r="E36" s="31" t="str">
        <f t="shared" si="9"/>
        <v/>
      </c>
      <c r="F36" s="24" t="str">
        <f t="shared" si="0"/>
        <v/>
      </c>
      <c r="G36" s="24" t="str">
        <f>IF(SUM($H$5:H35)&lt;1,C36,"")</f>
        <v/>
      </c>
      <c r="H36" s="24">
        <f t="shared" si="1"/>
        <v>1</v>
      </c>
      <c r="I36" s="24">
        <f t="shared" si="2"/>
        <v>0</v>
      </c>
      <c r="J36" s="24" t="e">
        <f t="shared" si="4"/>
        <v>#N/A</v>
      </c>
      <c r="K36" s="24" t="e">
        <f t="shared" si="5"/>
        <v>#N/A</v>
      </c>
      <c r="L36" s="25" t="str">
        <f t="shared" si="6"/>
        <v/>
      </c>
      <c r="M36" s="26">
        <f t="shared" si="7"/>
        <v>1</v>
      </c>
      <c r="N36" s="26"/>
      <c r="O36" s="26"/>
      <c r="P36" s="26"/>
      <c r="Q36" s="26"/>
      <c r="R36" s="24" t="str">
        <f t="shared" si="3"/>
        <v/>
      </c>
    </row>
    <row r="37" spans="1:23" x14ac:dyDescent="0.3">
      <c r="A37" s="20"/>
      <c r="B37" s="66"/>
      <c r="C37" s="66"/>
      <c r="D37" s="66"/>
      <c r="E37" s="31" t="str">
        <f t="shared" si="9"/>
        <v/>
      </c>
      <c r="F37" s="24" t="str">
        <f t="shared" ref="F37:F68" si="12">IF(G37="","",B37)</f>
        <v/>
      </c>
      <c r="G37" s="24" t="str">
        <f>IF(SUM($H$5:H36)&lt;1,C37,"")</f>
        <v/>
      </c>
      <c r="H37" s="24">
        <f t="shared" ref="H37:H68" si="13">IF(MAX($C$5:$C$105)=C37,1,"")</f>
        <v>1</v>
      </c>
      <c r="I37" s="24">
        <f t="shared" ref="I37:I68" si="14">C37^2-$C$5^2</f>
        <v>0</v>
      </c>
      <c r="J37" s="24" t="e">
        <f t="shared" si="4"/>
        <v>#N/A</v>
      </c>
      <c r="K37" s="24" t="e">
        <f t="shared" si="5"/>
        <v>#N/A</v>
      </c>
      <c r="L37" s="25" t="str">
        <f t="shared" si="6"/>
        <v/>
      </c>
      <c r="M37" s="26">
        <f t="shared" si="7"/>
        <v>1</v>
      </c>
      <c r="N37" s="26"/>
      <c r="O37" s="26"/>
      <c r="P37" s="26"/>
      <c r="Q37" s="26"/>
      <c r="R37" s="24" t="str">
        <f t="shared" ref="R37:R68" si="15">IF(F37="","",(F37-(E37*$V$71+$V$72))*100/(MAX($F$5:$F$105)*0.9))</f>
        <v/>
      </c>
    </row>
    <row r="38" spans="1:23" x14ac:dyDescent="0.3">
      <c r="A38" s="20"/>
      <c r="B38" s="66"/>
      <c r="C38" s="66"/>
      <c r="D38" s="66"/>
      <c r="E38" s="31" t="str">
        <f t="shared" si="9"/>
        <v/>
      </c>
      <c r="F38" s="24" t="str">
        <f t="shared" si="12"/>
        <v/>
      </c>
      <c r="G38" s="24" t="str">
        <f>IF(SUM($H$5:H37)&lt;1,C38,"")</f>
        <v/>
      </c>
      <c r="H38" s="24">
        <f t="shared" si="13"/>
        <v>1</v>
      </c>
      <c r="I38" s="24">
        <f t="shared" si="14"/>
        <v>0</v>
      </c>
      <c r="J38" s="24" t="e">
        <f t="shared" si="4"/>
        <v>#N/A</v>
      </c>
      <c r="K38" s="24" t="e">
        <f t="shared" si="5"/>
        <v>#N/A</v>
      </c>
      <c r="L38" s="25" t="str">
        <f t="shared" ref="L38:L69" si="16">IF(G38="",L37,F38*$V$6*(100/$V$5))</f>
        <v/>
      </c>
      <c r="M38" s="26">
        <f t="shared" ref="M38:M69" si="17">IF(G38="",M37,(F38-$F$5)/G38)</f>
        <v>1</v>
      </c>
      <c r="N38" s="26"/>
      <c r="O38" s="26"/>
      <c r="P38" s="26"/>
      <c r="Q38" s="26"/>
      <c r="R38" s="24" t="str">
        <f t="shared" si="15"/>
        <v/>
      </c>
      <c r="U38" s="14" t="s">
        <v>16</v>
      </c>
      <c r="V38" s="14" t="s">
        <v>26</v>
      </c>
      <c r="W38" s="14" t="s">
        <v>27</v>
      </c>
    </row>
    <row r="39" spans="1:23" x14ac:dyDescent="0.3">
      <c r="A39" s="20"/>
      <c r="B39" s="66"/>
      <c r="C39" s="66"/>
      <c r="D39" s="66"/>
      <c r="E39" s="31" t="str">
        <f t="shared" si="9"/>
        <v/>
      </c>
      <c r="F39" s="24" t="str">
        <f t="shared" si="12"/>
        <v/>
      </c>
      <c r="G39" s="24" t="str">
        <f>IF(SUM($H$5:H38)&lt;1,C39,"")</f>
        <v/>
      </c>
      <c r="H39" s="24">
        <f t="shared" si="13"/>
        <v>1</v>
      </c>
      <c r="I39" s="24">
        <f t="shared" si="14"/>
        <v>0</v>
      </c>
      <c r="J39" s="24" t="e">
        <f t="shared" si="4"/>
        <v>#N/A</v>
      </c>
      <c r="K39" s="24" t="e">
        <f t="shared" si="5"/>
        <v>#N/A</v>
      </c>
      <c r="L39" s="25" t="str">
        <f t="shared" si="16"/>
        <v/>
      </c>
      <c r="M39" s="26">
        <f t="shared" si="17"/>
        <v>1</v>
      </c>
      <c r="N39" s="26"/>
      <c r="O39" s="26"/>
      <c r="P39" s="26"/>
      <c r="Q39" s="26"/>
      <c r="R39" s="24" t="str">
        <f t="shared" si="15"/>
        <v/>
      </c>
      <c r="U39" s="67" t="s">
        <v>17</v>
      </c>
      <c r="V39" s="13">
        <v>0</v>
      </c>
      <c r="W39" s="13">
        <f>SQRT(V39)</f>
        <v>0</v>
      </c>
    </row>
    <row r="40" spans="1:23" x14ac:dyDescent="0.3">
      <c r="A40" s="20"/>
      <c r="B40" s="66"/>
      <c r="C40" s="66"/>
      <c r="D40" s="66"/>
      <c r="E40" s="31" t="str">
        <f t="shared" si="9"/>
        <v/>
      </c>
      <c r="F40" s="24" t="str">
        <f t="shared" si="12"/>
        <v/>
      </c>
      <c r="G40" s="24" t="str">
        <f>IF(SUM($H$5:H39)&lt;1,C40,"")</f>
        <v/>
      </c>
      <c r="H40" s="24">
        <f t="shared" si="13"/>
        <v>1</v>
      </c>
      <c r="I40" s="24">
        <f t="shared" si="14"/>
        <v>0</v>
      </c>
      <c r="J40" s="24" t="e">
        <f t="shared" si="4"/>
        <v>#N/A</v>
      </c>
      <c r="K40" s="24" t="e">
        <f t="shared" si="5"/>
        <v>#N/A</v>
      </c>
      <c r="L40" s="25" t="str">
        <f t="shared" si="16"/>
        <v/>
      </c>
      <c r="M40" s="26">
        <f t="shared" si="17"/>
        <v>1</v>
      </c>
      <c r="N40" s="26"/>
      <c r="O40" s="26"/>
      <c r="P40" s="26"/>
      <c r="Q40" s="26"/>
      <c r="R40" s="24" t="str">
        <f t="shared" si="15"/>
        <v/>
      </c>
      <c r="U40" s="67"/>
      <c r="V40" s="13" t="e">
        <f>INDEX(F5:F105,(MATCH(MAX(F5:F105),F5:F105,0))*0.7,0)</f>
        <v>#N/A</v>
      </c>
      <c r="W40" s="13" t="e">
        <f>V40/V6</f>
        <v>#N/A</v>
      </c>
    </row>
    <row r="41" spans="1:23" x14ac:dyDescent="0.25">
      <c r="A41" s="20"/>
      <c r="B41" s="20"/>
      <c r="C41" s="21"/>
      <c r="D41" s="21"/>
      <c r="E41" s="31" t="str">
        <f t="shared" si="9"/>
        <v/>
      </c>
      <c r="F41" s="24" t="str">
        <f t="shared" si="12"/>
        <v/>
      </c>
      <c r="G41" s="24" t="str">
        <f>IF(SUM($H$5:H40)&lt;1,C41,"")</f>
        <v/>
      </c>
      <c r="H41" s="24">
        <f t="shared" si="13"/>
        <v>1</v>
      </c>
      <c r="I41" s="24">
        <f t="shared" si="14"/>
        <v>0</v>
      </c>
      <c r="J41" s="24" t="e">
        <f t="shared" si="4"/>
        <v>#N/A</v>
      </c>
      <c r="K41" s="24" t="e">
        <f t="shared" si="5"/>
        <v>#N/A</v>
      </c>
      <c r="L41" s="25" t="str">
        <f t="shared" si="16"/>
        <v/>
      </c>
      <c r="M41" s="26">
        <f t="shared" si="17"/>
        <v>1</v>
      </c>
      <c r="N41" s="26"/>
      <c r="O41" s="26"/>
      <c r="P41" s="26"/>
      <c r="Q41" s="26"/>
      <c r="R41" s="24" t="str">
        <f t="shared" si="15"/>
        <v/>
      </c>
      <c r="U41" s="68" t="s">
        <v>18</v>
      </c>
      <c r="V41" s="13">
        <f>MAX(F5:F103)</f>
        <v>0</v>
      </c>
      <c r="W41" s="13">
        <f>(MAX(C5:C103))^2</f>
        <v>0</v>
      </c>
    </row>
    <row r="42" spans="1:23" x14ac:dyDescent="0.25">
      <c r="A42" s="20"/>
      <c r="B42" s="20"/>
      <c r="C42" s="21"/>
      <c r="D42" s="21"/>
      <c r="E42" s="31" t="str">
        <f t="shared" si="9"/>
        <v/>
      </c>
      <c r="F42" s="24" t="str">
        <f t="shared" si="12"/>
        <v/>
      </c>
      <c r="G42" s="24" t="str">
        <f>IF(SUM($H$5:H41)&lt;1,C42,"")</f>
        <v/>
      </c>
      <c r="H42" s="24">
        <f t="shared" si="13"/>
        <v>1</v>
      </c>
      <c r="I42" s="24">
        <f t="shared" si="14"/>
        <v>0</v>
      </c>
      <c r="J42" s="24" t="e">
        <f t="shared" si="4"/>
        <v>#N/A</v>
      </c>
      <c r="K42" s="24" t="e">
        <f t="shared" si="5"/>
        <v>#N/A</v>
      </c>
      <c r="L42" s="25" t="str">
        <f t="shared" si="16"/>
        <v/>
      </c>
      <c r="M42" s="26">
        <f t="shared" si="17"/>
        <v>1</v>
      </c>
      <c r="N42" s="26"/>
      <c r="O42" s="26"/>
      <c r="P42" s="26"/>
      <c r="Q42" s="26"/>
      <c r="R42" s="24" t="str">
        <f t="shared" si="15"/>
        <v/>
      </c>
      <c r="U42" s="69"/>
      <c r="V42" s="13">
        <f>MAX(F5:F103)</f>
        <v>0</v>
      </c>
      <c r="W42" s="13">
        <v>-1000</v>
      </c>
    </row>
    <row r="43" spans="1:23" x14ac:dyDescent="0.25">
      <c r="A43" s="20"/>
      <c r="B43" s="20"/>
      <c r="C43" s="21"/>
      <c r="D43" s="21"/>
      <c r="E43" s="31" t="str">
        <f t="shared" si="9"/>
        <v/>
      </c>
      <c r="F43" s="24" t="str">
        <f t="shared" si="12"/>
        <v/>
      </c>
      <c r="G43" s="24" t="str">
        <f>IF(SUM($H$5:H42)&lt;1,C43,"")</f>
        <v/>
      </c>
      <c r="H43" s="24">
        <f t="shared" si="13"/>
        <v>1</v>
      </c>
      <c r="I43" s="24">
        <f t="shared" si="14"/>
        <v>0</v>
      </c>
      <c r="J43" s="24" t="e">
        <f t="shared" si="4"/>
        <v>#N/A</v>
      </c>
      <c r="K43" s="24" t="e">
        <f t="shared" si="5"/>
        <v>#N/A</v>
      </c>
      <c r="L43" s="25" t="str">
        <f t="shared" si="16"/>
        <v/>
      </c>
      <c r="M43" s="26">
        <f t="shared" si="17"/>
        <v>1</v>
      </c>
      <c r="N43" s="26"/>
      <c r="O43" s="26"/>
      <c r="P43" s="26"/>
      <c r="Q43" s="26"/>
      <c r="R43" s="24" t="str">
        <f t="shared" si="15"/>
        <v/>
      </c>
    </row>
    <row r="44" spans="1:23" x14ac:dyDescent="0.25">
      <c r="A44" s="20"/>
      <c r="B44" s="20"/>
      <c r="C44" s="21"/>
      <c r="D44" s="21"/>
      <c r="E44" s="31" t="str">
        <f t="shared" si="9"/>
        <v/>
      </c>
      <c r="F44" s="24" t="str">
        <f t="shared" si="12"/>
        <v/>
      </c>
      <c r="G44" s="24" t="str">
        <f>IF(SUM($H$5:H43)&lt;1,C44,"")</f>
        <v/>
      </c>
      <c r="H44" s="24">
        <f t="shared" si="13"/>
        <v>1</v>
      </c>
      <c r="I44" s="24">
        <f t="shared" si="14"/>
        <v>0</v>
      </c>
      <c r="J44" s="24" t="e">
        <f t="shared" si="4"/>
        <v>#N/A</v>
      </c>
      <c r="K44" s="24" t="e">
        <f t="shared" si="5"/>
        <v>#N/A</v>
      </c>
      <c r="L44" s="25" t="str">
        <f t="shared" si="16"/>
        <v/>
      </c>
      <c r="M44" s="26">
        <f t="shared" si="17"/>
        <v>1</v>
      </c>
      <c r="N44" s="26"/>
      <c r="O44" s="26"/>
      <c r="P44" s="26"/>
      <c r="Q44" s="26"/>
      <c r="R44" s="24" t="str">
        <f t="shared" si="15"/>
        <v/>
      </c>
    </row>
    <row r="45" spans="1:23" x14ac:dyDescent="0.25">
      <c r="A45" s="20"/>
      <c r="B45" s="20"/>
      <c r="C45" s="21"/>
      <c r="D45" s="21"/>
      <c r="E45" s="31" t="str">
        <f t="shared" si="9"/>
        <v/>
      </c>
      <c r="F45" s="24" t="str">
        <f t="shared" si="12"/>
        <v/>
      </c>
      <c r="G45" s="24" t="str">
        <f>IF(SUM($H$5:H44)&lt;1,C45,"")</f>
        <v/>
      </c>
      <c r="H45" s="24">
        <f t="shared" si="13"/>
        <v>1</v>
      </c>
      <c r="I45" s="24">
        <f t="shared" si="14"/>
        <v>0</v>
      </c>
      <c r="J45" s="24" t="e">
        <f t="shared" si="4"/>
        <v>#N/A</v>
      </c>
      <c r="K45" s="24" t="e">
        <f t="shared" si="5"/>
        <v>#N/A</v>
      </c>
      <c r="L45" s="25" t="str">
        <f t="shared" si="16"/>
        <v/>
      </c>
      <c r="M45" s="26">
        <f t="shared" si="17"/>
        <v>1</v>
      </c>
      <c r="N45" s="26"/>
      <c r="O45" s="26"/>
      <c r="P45" s="26"/>
      <c r="Q45" s="26"/>
      <c r="R45" s="24" t="str">
        <f t="shared" si="15"/>
        <v/>
      </c>
    </row>
    <row r="46" spans="1:23" x14ac:dyDescent="0.25">
      <c r="A46" s="20"/>
      <c r="B46" s="20"/>
      <c r="C46" s="21"/>
      <c r="D46" s="21"/>
      <c r="E46" s="31" t="str">
        <f t="shared" si="9"/>
        <v/>
      </c>
      <c r="F46" s="24" t="str">
        <f t="shared" si="12"/>
        <v/>
      </c>
      <c r="G46" s="24" t="str">
        <f>IF(SUM($H$5:H45)&lt;1,C46,"")</f>
        <v/>
      </c>
      <c r="H46" s="24">
        <f t="shared" si="13"/>
        <v>1</v>
      </c>
      <c r="I46" s="24">
        <f t="shared" si="14"/>
        <v>0</v>
      </c>
      <c r="J46" s="24" t="e">
        <f t="shared" si="4"/>
        <v>#N/A</v>
      </c>
      <c r="K46" s="24" t="e">
        <f t="shared" si="5"/>
        <v>#N/A</v>
      </c>
      <c r="L46" s="25" t="str">
        <f t="shared" si="16"/>
        <v/>
      </c>
      <c r="M46" s="26">
        <f t="shared" si="17"/>
        <v>1</v>
      </c>
      <c r="N46" s="26"/>
      <c r="O46" s="26"/>
      <c r="P46" s="26"/>
      <c r="Q46" s="26"/>
      <c r="R46" s="24" t="str">
        <f t="shared" si="15"/>
        <v/>
      </c>
    </row>
    <row r="47" spans="1:23" x14ac:dyDescent="0.25">
      <c r="A47" s="20"/>
      <c r="B47" s="20"/>
      <c r="C47" s="21"/>
      <c r="D47" s="21"/>
      <c r="E47" s="31" t="str">
        <f t="shared" si="9"/>
        <v/>
      </c>
      <c r="F47" s="24" t="str">
        <f t="shared" si="12"/>
        <v/>
      </c>
      <c r="G47" s="24" t="str">
        <f>IF(SUM($H$5:H46)&lt;1,C47,"")</f>
        <v/>
      </c>
      <c r="H47" s="24">
        <f t="shared" si="13"/>
        <v>1</v>
      </c>
      <c r="I47" s="24">
        <f t="shared" si="14"/>
        <v>0</v>
      </c>
      <c r="J47" s="24" t="e">
        <f t="shared" si="4"/>
        <v>#N/A</v>
      </c>
      <c r="K47" s="24" t="e">
        <f t="shared" si="5"/>
        <v>#N/A</v>
      </c>
      <c r="L47" s="25" t="str">
        <f t="shared" si="16"/>
        <v/>
      </c>
      <c r="M47" s="26">
        <f t="shared" si="17"/>
        <v>1</v>
      </c>
      <c r="N47" s="26"/>
      <c r="O47" s="26"/>
      <c r="P47" s="26"/>
      <c r="Q47" s="26"/>
      <c r="R47" s="24" t="str">
        <f t="shared" si="15"/>
        <v/>
      </c>
    </row>
    <row r="48" spans="1:23" x14ac:dyDescent="0.25">
      <c r="A48" s="20"/>
      <c r="B48" s="20"/>
      <c r="C48" s="21"/>
      <c r="D48" s="21"/>
      <c r="E48" s="31" t="str">
        <f t="shared" si="9"/>
        <v/>
      </c>
      <c r="F48" s="24" t="str">
        <f t="shared" si="12"/>
        <v/>
      </c>
      <c r="G48" s="24" t="str">
        <f>IF(SUM($H$5:H47)&lt;1,C48,"")</f>
        <v/>
      </c>
      <c r="H48" s="24">
        <f t="shared" si="13"/>
        <v>1</v>
      </c>
      <c r="I48" s="24">
        <f t="shared" si="14"/>
        <v>0</v>
      </c>
      <c r="J48" s="24" t="e">
        <f t="shared" si="4"/>
        <v>#N/A</v>
      </c>
      <c r="K48" s="24" t="e">
        <f t="shared" si="5"/>
        <v>#N/A</v>
      </c>
      <c r="L48" s="25" t="str">
        <f t="shared" si="16"/>
        <v/>
      </c>
      <c r="M48" s="26">
        <f t="shared" si="17"/>
        <v>1</v>
      </c>
      <c r="N48" s="26"/>
      <c r="O48" s="26"/>
      <c r="P48" s="26"/>
      <c r="Q48" s="26"/>
      <c r="R48" s="24" t="str">
        <f t="shared" si="15"/>
        <v/>
      </c>
    </row>
    <row r="49" spans="1:18" x14ac:dyDescent="0.25">
      <c r="A49" s="20"/>
      <c r="B49" s="20"/>
      <c r="C49" s="21"/>
      <c r="D49" s="21"/>
      <c r="E49" s="31" t="str">
        <f t="shared" si="9"/>
        <v/>
      </c>
      <c r="F49" s="24" t="str">
        <f t="shared" si="12"/>
        <v/>
      </c>
      <c r="G49" s="24" t="str">
        <f>IF(SUM($H$5:H48)&lt;1,C49,"")</f>
        <v/>
      </c>
      <c r="H49" s="24">
        <f t="shared" si="13"/>
        <v>1</v>
      </c>
      <c r="I49" s="24">
        <f t="shared" si="14"/>
        <v>0</v>
      </c>
      <c r="J49" s="24" t="e">
        <f t="shared" si="4"/>
        <v>#N/A</v>
      </c>
      <c r="K49" s="24" t="e">
        <f t="shared" si="5"/>
        <v>#N/A</v>
      </c>
      <c r="L49" s="25" t="str">
        <f t="shared" si="16"/>
        <v/>
      </c>
      <c r="M49" s="26">
        <f t="shared" si="17"/>
        <v>1</v>
      </c>
      <c r="N49" s="26"/>
      <c r="O49" s="26"/>
      <c r="P49" s="26"/>
      <c r="Q49" s="26"/>
      <c r="R49" s="24" t="str">
        <f t="shared" si="15"/>
        <v/>
      </c>
    </row>
    <row r="50" spans="1:18" x14ac:dyDescent="0.25">
      <c r="A50" s="20"/>
      <c r="B50" s="20"/>
      <c r="C50" s="21"/>
      <c r="D50" s="21"/>
      <c r="E50" s="31" t="str">
        <f t="shared" si="9"/>
        <v/>
      </c>
      <c r="F50" s="24" t="str">
        <f t="shared" si="12"/>
        <v/>
      </c>
      <c r="G50" s="24" t="str">
        <f>IF(SUM($H$5:H49)&lt;1,C50,"")</f>
        <v/>
      </c>
      <c r="H50" s="24">
        <f t="shared" si="13"/>
        <v>1</v>
      </c>
      <c r="I50" s="24">
        <f t="shared" si="14"/>
        <v>0</v>
      </c>
      <c r="J50" s="24" t="e">
        <f t="shared" si="4"/>
        <v>#N/A</v>
      </c>
      <c r="K50" s="24" t="e">
        <f t="shared" si="5"/>
        <v>#N/A</v>
      </c>
      <c r="L50" s="25" t="str">
        <f t="shared" si="16"/>
        <v/>
      </c>
      <c r="M50" s="26">
        <f t="shared" si="17"/>
        <v>1</v>
      </c>
      <c r="N50" s="26"/>
      <c r="O50" s="26"/>
      <c r="P50" s="26"/>
      <c r="Q50" s="26"/>
      <c r="R50" s="24" t="str">
        <f t="shared" si="15"/>
        <v/>
      </c>
    </row>
    <row r="51" spans="1:18" x14ac:dyDescent="0.25">
      <c r="A51" s="20"/>
      <c r="B51" s="20"/>
      <c r="C51" s="21"/>
      <c r="D51" s="21"/>
      <c r="E51" s="31" t="str">
        <f t="shared" si="9"/>
        <v/>
      </c>
      <c r="F51" s="24" t="str">
        <f t="shared" si="12"/>
        <v/>
      </c>
      <c r="G51" s="24" t="str">
        <f>IF(SUM($H$5:H50)&lt;1,C51,"")</f>
        <v/>
      </c>
      <c r="H51" s="24">
        <f t="shared" si="13"/>
        <v>1</v>
      </c>
      <c r="I51" s="24">
        <f t="shared" si="14"/>
        <v>0</v>
      </c>
      <c r="J51" s="24" t="e">
        <f t="shared" si="4"/>
        <v>#N/A</v>
      </c>
      <c r="K51" s="24" t="e">
        <f t="shared" si="5"/>
        <v>#N/A</v>
      </c>
      <c r="L51" s="25" t="str">
        <f t="shared" si="16"/>
        <v/>
      </c>
      <c r="M51" s="26">
        <f t="shared" si="17"/>
        <v>1</v>
      </c>
      <c r="N51" s="26"/>
      <c r="O51" s="26"/>
      <c r="P51" s="26"/>
      <c r="Q51" s="26"/>
      <c r="R51" s="24" t="str">
        <f t="shared" si="15"/>
        <v/>
      </c>
    </row>
    <row r="52" spans="1:18" x14ac:dyDescent="0.25">
      <c r="A52" s="20"/>
      <c r="B52" s="20"/>
      <c r="C52" s="21"/>
      <c r="D52" s="21"/>
      <c r="E52" s="31" t="str">
        <f t="shared" si="9"/>
        <v/>
      </c>
      <c r="F52" s="24" t="str">
        <f t="shared" si="12"/>
        <v/>
      </c>
      <c r="G52" s="24" t="str">
        <f>IF(SUM($H$5:H51)&lt;1,C52,"")</f>
        <v/>
      </c>
      <c r="H52" s="24">
        <f t="shared" si="13"/>
        <v>1</v>
      </c>
      <c r="I52" s="24">
        <f t="shared" si="14"/>
        <v>0</v>
      </c>
      <c r="J52" s="24" t="e">
        <f t="shared" si="4"/>
        <v>#N/A</v>
      </c>
      <c r="K52" s="24" t="e">
        <f t="shared" si="5"/>
        <v>#N/A</v>
      </c>
      <c r="L52" s="25" t="str">
        <f t="shared" si="16"/>
        <v/>
      </c>
      <c r="M52" s="26">
        <f t="shared" si="17"/>
        <v>1</v>
      </c>
      <c r="N52" s="26"/>
      <c r="O52" s="26"/>
      <c r="P52" s="26"/>
      <c r="Q52" s="26"/>
      <c r="R52" s="24" t="str">
        <f t="shared" si="15"/>
        <v/>
      </c>
    </row>
    <row r="53" spans="1:18" x14ac:dyDescent="0.25">
      <c r="A53" s="20"/>
      <c r="B53" s="20"/>
      <c r="C53" s="21"/>
      <c r="D53" s="21"/>
      <c r="E53" s="31" t="str">
        <f t="shared" si="9"/>
        <v/>
      </c>
      <c r="F53" s="24" t="str">
        <f t="shared" si="12"/>
        <v/>
      </c>
      <c r="G53" s="24" t="str">
        <f>IF(SUM($H$5:H52)&lt;1,C53,"")</f>
        <v/>
      </c>
      <c r="H53" s="24">
        <f t="shared" si="13"/>
        <v>1</v>
      </c>
      <c r="I53" s="24">
        <f t="shared" si="14"/>
        <v>0</v>
      </c>
      <c r="J53" s="24" t="e">
        <f t="shared" si="4"/>
        <v>#N/A</v>
      </c>
      <c r="K53" s="24" t="e">
        <f t="shared" si="5"/>
        <v>#N/A</v>
      </c>
      <c r="L53" s="25" t="str">
        <f t="shared" si="16"/>
        <v/>
      </c>
      <c r="M53" s="26">
        <f t="shared" si="17"/>
        <v>1</v>
      </c>
      <c r="N53" s="26"/>
      <c r="O53" s="26"/>
      <c r="P53" s="26"/>
      <c r="Q53" s="26"/>
      <c r="R53" s="24" t="str">
        <f t="shared" si="15"/>
        <v/>
      </c>
    </row>
    <row r="54" spans="1:18" x14ac:dyDescent="0.25">
      <c r="A54" s="20"/>
      <c r="B54" s="20"/>
      <c r="C54" s="21"/>
      <c r="D54" s="21"/>
      <c r="E54" s="31" t="str">
        <f t="shared" si="9"/>
        <v/>
      </c>
      <c r="F54" s="24" t="str">
        <f t="shared" si="12"/>
        <v/>
      </c>
      <c r="G54" s="24" t="str">
        <f>IF(SUM($H$5:H53)&lt;1,C54,"")</f>
        <v/>
      </c>
      <c r="H54" s="24">
        <f t="shared" si="13"/>
        <v>1</v>
      </c>
      <c r="I54" s="24">
        <f t="shared" si="14"/>
        <v>0</v>
      </c>
      <c r="J54" s="24" t="e">
        <f t="shared" si="4"/>
        <v>#N/A</v>
      </c>
      <c r="K54" s="24" t="e">
        <f t="shared" si="5"/>
        <v>#N/A</v>
      </c>
      <c r="L54" s="25" t="str">
        <f t="shared" si="16"/>
        <v/>
      </c>
      <c r="M54" s="26">
        <f t="shared" si="17"/>
        <v>1</v>
      </c>
      <c r="N54" s="26"/>
      <c r="O54" s="26"/>
      <c r="P54" s="26"/>
      <c r="Q54" s="26"/>
      <c r="R54" s="24" t="str">
        <f t="shared" si="15"/>
        <v/>
      </c>
    </row>
    <row r="55" spans="1:18" x14ac:dyDescent="0.25">
      <c r="A55" s="20"/>
      <c r="B55" s="20"/>
      <c r="C55" s="21"/>
      <c r="D55" s="21"/>
      <c r="E55" s="31" t="str">
        <f t="shared" si="9"/>
        <v/>
      </c>
      <c r="F55" s="24" t="str">
        <f t="shared" si="12"/>
        <v/>
      </c>
      <c r="G55" s="24" t="str">
        <f>IF(SUM($H$5:H54)&lt;1,C55,"")</f>
        <v/>
      </c>
      <c r="H55" s="24">
        <f t="shared" si="13"/>
        <v>1</v>
      </c>
      <c r="I55" s="24">
        <f t="shared" si="14"/>
        <v>0</v>
      </c>
      <c r="J55" s="24" t="e">
        <f t="shared" si="4"/>
        <v>#N/A</v>
      </c>
      <c r="K55" s="24" t="e">
        <f t="shared" si="5"/>
        <v>#N/A</v>
      </c>
      <c r="L55" s="25" t="str">
        <f t="shared" si="16"/>
        <v/>
      </c>
      <c r="M55" s="26">
        <f t="shared" si="17"/>
        <v>1</v>
      </c>
      <c r="N55" s="26"/>
      <c r="O55" s="26"/>
      <c r="P55" s="26"/>
      <c r="Q55" s="26"/>
      <c r="R55" s="24" t="str">
        <f t="shared" si="15"/>
        <v/>
      </c>
    </row>
    <row r="56" spans="1:18" x14ac:dyDescent="0.3">
      <c r="A56" s="21"/>
      <c r="B56" s="21"/>
      <c r="C56" s="21"/>
      <c r="D56" s="21"/>
      <c r="E56" s="31" t="str">
        <f t="shared" si="9"/>
        <v/>
      </c>
      <c r="F56" s="24" t="str">
        <f t="shared" si="12"/>
        <v/>
      </c>
      <c r="G56" s="24" t="str">
        <f>IF(SUM($H$5:H55)&lt;1,C56,"")</f>
        <v/>
      </c>
      <c r="H56" s="24">
        <f t="shared" si="13"/>
        <v>1</v>
      </c>
      <c r="I56" s="24">
        <f t="shared" si="14"/>
        <v>0</v>
      </c>
      <c r="J56" s="24" t="e">
        <f t="shared" si="4"/>
        <v>#N/A</v>
      </c>
      <c r="K56" s="24" t="e">
        <f t="shared" si="5"/>
        <v>#N/A</v>
      </c>
      <c r="L56" s="25" t="str">
        <f t="shared" si="16"/>
        <v/>
      </c>
      <c r="M56" s="26">
        <f t="shared" si="17"/>
        <v>1</v>
      </c>
      <c r="N56" s="26"/>
      <c r="O56" s="26"/>
      <c r="P56" s="26"/>
      <c r="Q56" s="26"/>
      <c r="R56" s="24" t="str">
        <f t="shared" si="15"/>
        <v/>
      </c>
    </row>
    <row r="57" spans="1:18" x14ac:dyDescent="0.3">
      <c r="A57" s="21"/>
      <c r="B57" s="21"/>
      <c r="C57" s="21"/>
      <c r="D57" s="21"/>
      <c r="E57" s="31" t="str">
        <f t="shared" si="9"/>
        <v/>
      </c>
      <c r="F57" s="24" t="str">
        <f t="shared" si="12"/>
        <v/>
      </c>
      <c r="G57" s="24" t="str">
        <f>IF(SUM($H$5:H56)&lt;1,C57,"")</f>
        <v/>
      </c>
      <c r="H57" s="24">
        <f t="shared" si="13"/>
        <v>1</v>
      </c>
      <c r="I57" s="24">
        <f t="shared" si="14"/>
        <v>0</v>
      </c>
      <c r="J57" s="24" t="e">
        <f t="shared" si="4"/>
        <v>#N/A</v>
      </c>
      <c r="K57" s="24" t="e">
        <f t="shared" si="5"/>
        <v>#N/A</v>
      </c>
      <c r="L57" s="25" t="str">
        <f t="shared" si="16"/>
        <v/>
      </c>
      <c r="M57" s="26">
        <f t="shared" si="17"/>
        <v>1</v>
      </c>
      <c r="N57" s="26"/>
      <c r="O57" s="26"/>
      <c r="P57" s="26"/>
      <c r="Q57" s="26"/>
      <c r="R57" s="24" t="str">
        <f t="shared" si="15"/>
        <v/>
      </c>
    </row>
    <row r="58" spans="1:18" x14ac:dyDescent="0.3">
      <c r="A58" s="21"/>
      <c r="B58" s="21"/>
      <c r="C58" s="21"/>
      <c r="D58" s="21"/>
      <c r="E58" s="31" t="str">
        <f t="shared" si="9"/>
        <v/>
      </c>
      <c r="F58" s="24" t="str">
        <f t="shared" si="12"/>
        <v/>
      </c>
      <c r="G58" s="24" t="str">
        <f>IF(SUM($H$5:H57)&lt;1,C58,"")</f>
        <v/>
      </c>
      <c r="H58" s="24">
        <f t="shared" si="13"/>
        <v>1</v>
      </c>
      <c r="I58" s="24">
        <f t="shared" si="14"/>
        <v>0</v>
      </c>
      <c r="J58" s="24" t="e">
        <f t="shared" si="4"/>
        <v>#N/A</v>
      </c>
      <c r="K58" s="24" t="e">
        <f t="shared" si="5"/>
        <v>#N/A</v>
      </c>
      <c r="L58" s="25" t="str">
        <f t="shared" si="16"/>
        <v/>
      </c>
      <c r="M58" s="26">
        <f t="shared" si="17"/>
        <v>1</v>
      </c>
      <c r="N58" s="26"/>
      <c r="O58" s="26"/>
      <c r="P58" s="26"/>
      <c r="Q58" s="26"/>
      <c r="R58" s="24" t="str">
        <f t="shared" si="15"/>
        <v/>
      </c>
    </row>
    <row r="59" spans="1:18" x14ac:dyDescent="0.3">
      <c r="A59" s="21"/>
      <c r="B59" s="21"/>
      <c r="C59" s="21"/>
      <c r="D59" s="21"/>
      <c r="E59" s="31" t="str">
        <f t="shared" si="9"/>
        <v/>
      </c>
      <c r="F59" s="24" t="str">
        <f t="shared" si="12"/>
        <v/>
      </c>
      <c r="G59" s="24" t="str">
        <f>IF(SUM($H$5:H58)&lt;1,C59,"")</f>
        <v/>
      </c>
      <c r="H59" s="24">
        <f t="shared" si="13"/>
        <v>1</v>
      </c>
      <c r="I59" s="24">
        <f t="shared" si="14"/>
        <v>0</v>
      </c>
      <c r="J59" s="24" t="e">
        <f t="shared" si="4"/>
        <v>#N/A</v>
      </c>
      <c r="K59" s="24" t="e">
        <f t="shared" si="5"/>
        <v>#N/A</v>
      </c>
      <c r="L59" s="25" t="str">
        <f t="shared" si="16"/>
        <v/>
      </c>
      <c r="M59" s="26">
        <f t="shared" si="17"/>
        <v>1</v>
      </c>
      <c r="N59" s="26"/>
      <c r="O59" s="26"/>
      <c r="P59" s="26"/>
      <c r="Q59" s="26"/>
      <c r="R59" s="24" t="str">
        <f t="shared" si="15"/>
        <v/>
      </c>
    </row>
    <row r="60" spans="1:18" x14ac:dyDescent="0.3">
      <c r="A60" s="21"/>
      <c r="B60" s="21"/>
      <c r="C60" s="21"/>
      <c r="D60" s="21"/>
      <c r="E60" s="31" t="str">
        <f t="shared" si="9"/>
        <v/>
      </c>
      <c r="F60" s="24" t="str">
        <f t="shared" si="12"/>
        <v/>
      </c>
      <c r="G60" s="24" t="str">
        <f>IF(SUM($H$5:H59)&lt;1,C60,"")</f>
        <v/>
      </c>
      <c r="H60" s="24">
        <f t="shared" si="13"/>
        <v>1</v>
      </c>
      <c r="I60" s="24">
        <f t="shared" si="14"/>
        <v>0</v>
      </c>
      <c r="J60" s="24" t="e">
        <f t="shared" si="4"/>
        <v>#N/A</v>
      </c>
      <c r="K60" s="24" t="e">
        <f t="shared" si="5"/>
        <v>#N/A</v>
      </c>
      <c r="L60" s="25" t="str">
        <f t="shared" si="16"/>
        <v/>
      </c>
      <c r="M60" s="26">
        <f t="shared" si="17"/>
        <v>1</v>
      </c>
      <c r="N60" s="26"/>
      <c r="O60" s="26"/>
      <c r="P60" s="26"/>
      <c r="Q60" s="26"/>
      <c r="R60" s="24" t="str">
        <f t="shared" si="15"/>
        <v/>
      </c>
    </row>
    <row r="61" spans="1:18" x14ac:dyDescent="0.3">
      <c r="A61" s="21"/>
      <c r="B61" s="21"/>
      <c r="C61" s="21"/>
      <c r="D61" s="21"/>
      <c r="E61" s="31" t="str">
        <f t="shared" si="9"/>
        <v/>
      </c>
      <c r="F61" s="24" t="str">
        <f t="shared" si="12"/>
        <v/>
      </c>
      <c r="G61" s="24" t="str">
        <f>IF(SUM($H$5:H60)&lt;1,C61,"")</f>
        <v/>
      </c>
      <c r="H61" s="24">
        <f t="shared" si="13"/>
        <v>1</v>
      </c>
      <c r="I61" s="24">
        <f t="shared" si="14"/>
        <v>0</v>
      </c>
      <c r="J61" s="24" t="e">
        <f t="shared" si="4"/>
        <v>#N/A</v>
      </c>
      <c r="K61" s="24" t="e">
        <f t="shared" si="5"/>
        <v>#N/A</v>
      </c>
      <c r="L61" s="25" t="str">
        <f t="shared" si="16"/>
        <v/>
      </c>
      <c r="M61" s="26">
        <f t="shared" si="17"/>
        <v>1</v>
      </c>
      <c r="N61" s="26"/>
      <c r="O61" s="26"/>
      <c r="P61" s="26"/>
      <c r="Q61" s="26"/>
      <c r="R61" s="24" t="str">
        <f t="shared" si="15"/>
        <v/>
      </c>
    </row>
    <row r="62" spans="1:18" x14ac:dyDescent="0.3">
      <c r="A62" s="21"/>
      <c r="B62" s="21"/>
      <c r="C62" s="21"/>
      <c r="D62" s="21"/>
      <c r="E62" s="31" t="str">
        <f t="shared" si="9"/>
        <v/>
      </c>
      <c r="F62" s="24" t="str">
        <f t="shared" si="12"/>
        <v/>
      </c>
      <c r="G62" s="24" t="str">
        <f>IF(SUM($H$5:H61)&lt;1,C62,"")</f>
        <v/>
      </c>
      <c r="H62" s="24">
        <f t="shared" si="13"/>
        <v>1</v>
      </c>
      <c r="I62" s="24">
        <f t="shared" si="14"/>
        <v>0</v>
      </c>
      <c r="J62" s="24" t="e">
        <f t="shared" si="4"/>
        <v>#N/A</v>
      </c>
      <c r="K62" s="24" t="e">
        <f t="shared" si="5"/>
        <v>#N/A</v>
      </c>
      <c r="L62" s="25" t="str">
        <f t="shared" si="16"/>
        <v/>
      </c>
      <c r="M62" s="26">
        <f t="shared" si="17"/>
        <v>1</v>
      </c>
      <c r="N62" s="26"/>
      <c r="O62" s="26"/>
      <c r="P62" s="26"/>
      <c r="Q62" s="26"/>
      <c r="R62" s="24" t="str">
        <f t="shared" si="15"/>
        <v/>
      </c>
    </row>
    <row r="63" spans="1:18" x14ac:dyDescent="0.3">
      <c r="A63" s="21"/>
      <c r="B63" s="21"/>
      <c r="C63" s="21"/>
      <c r="D63" s="21"/>
      <c r="E63" s="31" t="str">
        <f t="shared" si="9"/>
        <v/>
      </c>
      <c r="F63" s="24" t="str">
        <f t="shared" si="12"/>
        <v/>
      </c>
      <c r="G63" s="24" t="str">
        <f>IF(SUM($H$5:H62)&lt;1,C63,"")</f>
        <v/>
      </c>
      <c r="H63" s="24">
        <f t="shared" si="13"/>
        <v>1</v>
      </c>
      <c r="I63" s="24">
        <f t="shared" si="14"/>
        <v>0</v>
      </c>
      <c r="J63" s="24" t="e">
        <f t="shared" si="4"/>
        <v>#N/A</v>
      </c>
      <c r="K63" s="24" t="e">
        <f t="shared" si="5"/>
        <v>#N/A</v>
      </c>
      <c r="L63" s="25" t="str">
        <f t="shared" si="16"/>
        <v/>
      </c>
      <c r="M63" s="26">
        <f t="shared" si="17"/>
        <v>1</v>
      </c>
      <c r="N63" s="26"/>
      <c r="O63" s="26"/>
      <c r="P63" s="26"/>
      <c r="Q63" s="26"/>
      <c r="R63" s="24" t="str">
        <f t="shared" si="15"/>
        <v/>
      </c>
    </row>
    <row r="64" spans="1:18" x14ac:dyDescent="0.3">
      <c r="A64" s="21"/>
      <c r="B64" s="21"/>
      <c r="C64" s="21"/>
      <c r="D64" s="21"/>
      <c r="E64" s="31" t="str">
        <f t="shared" si="9"/>
        <v/>
      </c>
      <c r="F64" s="24" t="str">
        <f t="shared" si="12"/>
        <v/>
      </c>
      <c r="G64" s="24" t="str">
        <f>IF(SUM($H$5:H63)&lt;1,C64,"")</f>
        <v/>
      </c>
      <c r="H64" s="24">
        <f t="shared" si="13"/>
        <v>1</v>
      </c>
      <c r="I64" s="24">
        <f t="shared" si="14"/>
        <v>0</v>
      </c>
      <c r="J64" s="24" t="e">
        <f t="shared" si="4"/>
        <v>#N/A</v>
      </c>
      <c r="K64" s="24" t="e">
        <f t="shared" si="5"/>
        <v>#N/A</v>
      </c>
      <c r="L64" s="25" t="str">
        <f t="shared" si="16"/>
        <v/>
      </c>
      <c r="M64" s="26">
        <f t="shared" si="17"/>
        <v>1</v>
      </c>
      <c r="N64" s="26"/>
      <c r="O64" s="26"/>
      <c r="P64" s="26"/>
      <c r="Q64" s="26"/>
      <c r="R64" s="24" t="str">
        <f t="shared" si="15"/>
        <v/>
      </c>
    </row>
    <row r="65" spans="1:23" x14ac:dyDescent="0.3">
      <c r="A65" s="21"/>
      <c r="B65" s="21"/>
      <c r="C65" s="21"/>
      <c r="D65" s="21"/>
      <c r="E65" s="31" t="str">
        <f t="shared" si="9"/>
        <v/>
      </c>
      <c r="F65" s="24" t="str">
        <f t="shared" si="12"/>
        <v/>
      </c>
      <c r="G65" s="24" t="str">
        <f>IF(SUM($H$5:H64)&lt;1,C65,"")</f>
        <v/>
      </c>
      <c r="H65" s="24">
        <f t="shared" si="13"/>
        <v>1</v>
      </c>
      <c r="I65" s="24">
        <f t="shared" si="14"/>
        <v>0</v>
      </c>
      <c r="J65" s="24" t="e">
        <f t="shared" si="4"/>
        <v>#N/A</v>
      </c>
      <c r="K65" s="24" t="e">
        <f t="shared" si="5"/>
        <v>#N/A</v>
      </c>
      <c r="L65" s="25" t="str">
        <f t="shared" si="16"/>
        <v/>
      </c>
      <c r="M65" s="26">
        <f t="shared" si="17"/>
        <v>1</v>
      </c>
      <c r="N65" s="26"/>
      <c r="O65" s="26"/>
      <c r="P65" s="26"/>
      <c r="Q65" s="26"/>
      <c r="R65" s="24" t="str">
        <f t="shared" si="15"/>
        <v/>
      </c>
    </row>
    <row r="66" spans="1:23" x14ac:dyDescent="0.3">
      <c r="A66" s="21"/>
      <c r="B66" s="21"/>
      <c r="C66" s="21"/>
      <c r="D66" s="21"/>
      <c r="E66" s="31" t="str">
        <f t="shared" si="9"/>
        <v/>
      </c>
      <c r="F66" s="24" t="str">
        <f t="shared" si="12"/>
        <v/>
      </c>
      <c r="G66" s="24" t="str">
        <f>IF(SUM($H$5:H65)&lt;1,C66,"")</f>
        <v/>
      </c>
      <c r="H66" s="24">
        <f t="shared" si="13"/>
        <v>1</v>
      </c>
      <c r="I66" s="24">
        <f t="shared" si="14"/>
        <v>0</v>
      </c>
      <c r="J66" s="24" t="e">
        <f t="shared" si="4"/>
        <v>#N/A</v>
      </c>
      <c r="K66" s="24" t="e">
        <f t="shared" si="5"/>
        <v>#N/A</v>
      </c>
      <c r="L66" s="25" t="str">
        <f t="shared" si="16"/>
        <v/>
      </c>
      <c r="M66" s="26">
        <f t="shared" si="17"/>
        <v>1</v>
      </c>
      <c r="N66" s="26"/>
      <c r="O66" s="26"/>
      <c r="P66" s="26"/>
      <c r="Q66" s="26"/>
      <c r="R66" s="24" t="str">
        <f t="shared" si="15"/>
        <v/>
      </c>
    </row>
    <row r="67" spans="1:23" x14ac:dyDescent="0.3">
      <c r="A67" s="21"/>
      <c r="B67" s="21"/>
      <c r="C67" s="21"/>
      <c r="D67" s="21"/>
      <c r="E67" s="31" t="str">
        <f t="shared" si="9"/>
        <v/>
      </c>
      <c r="F67" s="24" t="str">
        <f t="shared" si="12"/>
        <v/>
      </c>
      <c r="G67" s="24" t="str">
        <f>IF(SUM($H$5:H66)&lt;1,C67,"")</f>
        <v/>
      </c>
      <c r="H67" s="24">
        <f t="shared" si="13"/>
        <v>1</v>
      </c>
      <c r="I67" s="24">
        <f t="shared" si="14"/>
        <v>0</v>
      </c>
      <c r="J67" s="24" t="e">
        <f t="shared" si="4"/>
        <v>#N/A</v>
      </c>
      <c r="K67" s="24" t="e">
        <f t="shared" si="5"/>
        <v>#N/A</v>
      </c>
      <c r="L67" s="25" t="str">
        <f t="shared" si="16"/>
        <v/>
      </c>
      <c r="M67" s="26">
        <f t="shared" si="17"/>
        <v>1</v>
      </c>
      <c r="N67" s="26"/>
      <c r="O67" s="26"/>
      <c r="P67" s="26"/>
      <c r="Q67" s="26"/>
      <c r="R67" s="24" t="str">
        <f t="shared" si="15"/>
        <v/>
      </c>
    </row>
    <row r="68" spans="1:23" x14ac:dyDescent="0.3">
      <c r="A68" s="21"/>
      <c r="B68" s="21"/>
      <c r="C68" s="21"/>
      <c r="D68" s="21"/>
      <c r="E68" s="31" t="str">
        <f t="shared" si="9"/>
        <v/>
      </c>
      <c r="F68" s="24" t="str">
        <f t="shared" si="12"/>
        <v/>
      </c>
      <c r="G68" s="24" t="str">
        <f>IF(SUM($H$5:H67)&lt;1,C68,"")</f>
        <v/>
      </c>
      <c r="H68" s="24">
        <f t="shared" si="13"/>
        <v>1</v>
      </c>
      <c r="I68" s="24">
        <f t="shared" si="14"/>
        <v>0</v>
      </c>
      <c r="J68" s="24" t="e">
        <f t="shared" si="4"/>
        <v>#N/A</v>
      </c>
      <c r="K68" s="24" t="e">
        <f t="shared" si="5"/>
        <v>#N/A</v>
      </c>
      <c r="L68" s="25" t="str">
        <f t="shared" si="16"/>
        <v/>
      </c>
      <c r="M68" s="26">
        <f t="shared" si="17"/>
        <v>1</v>
      </c>
      <c r="N68" s="26"/>
      <c r="O68" s="26"/>
      <c r="P68" s="26"/>
      <c r="Q68" s="26"/>
      <c r="R68" s="24" t="str">
        <f t="shared" si="15"/>
        <v/>
      </c>
    </row>
    <row r="69" spans="1:23" x14ac:dyDescent="0.3">
      <c r="A69" s="21"/>
      <c r="B69" s="21"/>
      <c r="C69" s="21"/>
      <c r="D69" s="21"/>
      <c r="E69" s="31" t="str">
        <f t="shared" si="9"/>
        <v/>
      </c>
      <c r="F69" s="24" t="str">
        <f t="shared" ref="F69:F100" si="18">IF(G69="","",B69)</f>
        <v/>
      </c>
      <c r="G69" s="24" t="str">
        <f>IF(SUM($H$5:H68)&lt;1,C69,"")</f>
        <v/>
      </c>
      <c r="H69" s="24">
        <f t="shared" ref="H69:H105" si="19">IF(MAX($C$5:$C$105)=C69,1,"")</f>
        <v>1</v>
      </c>
      <c r="I69" s="24">
        <f t="shared" ref="I69:I105" si="20">C69^2-$C$5^2</f>
        <v>0</v>
      </c>
      <c r="J69" s="24" t="e">
        <f t="shared" si="4"/>
        <v>#N/A</v>
      </c>
      <c r="K69" s="24" t="e">
        <f t="shared" si="5"/>
        <v>#N/A</v>
      </c>
      <c r="L69" s="25" t="str">
        <f t="shared" si="16"/>
        <v/>
      </c>
      <c r="M69" s="26">
        <f t="shared" si="17"/>
        <v>1</v>
      </c>
      <c r="N69" s="26"/>
      <c r="O69" s="26"/>
      <c r="P69" s="26"/>
      <c r="Q69" s="26"/>
      <c r="R69" s="24" t="str">
        <f t="shared" ref="R69:R105" si="21">IF(F69="","",(F69-(E69*$V$71+$V$72))*100/(MAX($F$5:$F$105)*0.9))</f>
        <v/>
      </c>
    </row>
    <row r="70" spans="1:23" x14ac:dyDescent="0.3">
      <c r="A70" s="21"/>
      <c r="B70" s="21"/>
      <c r="C70" s="21"/>
      <c r="D70" s="21"/>
      <c r="E70" s="31" t="str">
        <f t="shared" si="9"/>
        <v/>
      </c>
      <c r="F70" s="24" t="str">
        <f t="shared" si="18"/>
        <v/>
      </c>
      <c r="G70" s="24" t="str">
        <f>IF(SUM($H$5:H69)&lt;1,C70,"")</f>
        <v/>
      </c>
      <c r="H70" s="24">
        <f t="shared" si="19"/>
        <v>1</v>
      </c>
      <c r="I70" s="24">
        <f t="shared" si="20"/>
        <v>0</v>
      </c>
      <c r="J70" s="24" t="e">
        <f t="shared" ref="J70:J105" si="22">IF(AND($V$40&gt;F70,NOT(G70="")),F70,"")</f>
        <v>#N/A</v>
      </c>
      <c r="K70" s="24" t="e">
        <f t="shared" ref="K70:K105" si="23">IF(AND($V$40&gt;F70,NOT(G70="")),I70,"")</f>
        <v>#N/A</v>
      </c>
      <c r="L70" s="25" t="str">
        <f t="shared" ref="L70:L105" si="24">IF(G70="",L69,F70*$V$6*(100/$V$5))</f>
        <v/>
      </c>
      <c r="M70" s="26">
        <f t="shared" ref="M70:M105" si="25">IF(G70="",M69,(F70-$F$5)/G70)</f>
        <v>1</v>
      </c>
      <c r="N70" s="26"/>
      <c r="O70" s="26"/>
      <c r="P70" s="26"/>
      <c r="Q70" s="26"/>
      <c r="R70" s="24" t="str">
        <f t="shared" si="21"/>
        <v/>
      </c>
    </row>
    <row r="71" spans="1:23" x14ac:dyDescent="0.3">
      <c r="A71" s="21"/>
      <c r="B71" s="21"/>
      <c r="C71" s="21"/>
      <c r="D71" s="21"/>
      <c r="E71" s="31" t="str">
        <f t="shared" ref="E71:E105" si="26">IF(F71="","",E70+1)</f>
        <v/>
      </c>
      <c r="F71" s="24" t="str">
        <f t="shared" si="18"/>
        <v/>
      </c>
      <c r="G71" s="24" t="str">
        <f>IF(SUM($H$5:H70)&lt;1,C71,"")</f>
        <v/>
      </c>
      <c r="H71" s="24">
        <f t="shared" si="19"/>
        <v>1</v>
      </c>
      <c r="I71" s="24">
        <f t="shared" si="20"/>
        <v>0</v>
      </c>
      <c r="J71" s="24" t="e">
        <f t="shared" si="22"/>
        <v>#N/A</v>
      </c>
      <c r="K71" s="24" t="e">
        <f t="shared" si="23"/>
        <v>#N/A</v>
      </c>
      <c r="L71" s="25" t="str">
        <f t="shared" si="24"/>
        <v/>
      </c>
      <c r="M71" s="26">
        <f t="shared" si="25"/>
        <v>1</v>
      </c>
      <c r="N71" s="26"/>
      <c r="O71" s="26"/>
      <c r="P71" s="26"/>
      <c r="Q71" s="26"/>
      <c r="R71" s="24" t="str">
        <f t="shared" si="21"/>
        <v/>
      </c>
      <c r="U71" s="15" t="s">
        <v>3</v>
      </c>
      <c r="V71" s="11" t="e">
        <f>(MATCH(MAX(G5:G105),G5:G105)*SUMPRODUCT(E5:E105,F5:F105)-SUM(E5:E105)*SUM(F5:F105))/(MATCH(MAX(G5:G105),G5:G105)*SUMSQ(E5:E105) - SUM(E5:E105)^2)</f>
        <v>#N/A</v>
      </c>
    </row>
    <row r="72" spans="1:23" x14ac:dyDescent="0.3">
      <c r="A72" s="21"/>
      <c r="B72" s="21"/>
      <c r="C72" s="21"/>
      <c r="D72" s="21"/>
      <c r="E72" s="31" t="str">
        <f t="shared" si="26"/>
        <v/>
      </c>
      <c r="F72" s="24" t="str">
        <f t="shared" si="18"/>
        <v/>
      </c>
      <c r="G72" s="24" t="str">
        <f>IF(SUM($H$5:H71)&lt;1,C72,"")</f>
        <v/>
      </c>
      <c r="H72" s="24">
        <f t="shared" si="19"/>
        <v>1</v>
      </c>
      <c r="I72" s="24">
        <f t="shared" si="20"/>
        <v>0</v>
      </c>
      <c r="J72" s="24" t="e">
        <f t="shared" si="22"/>
        <v>#N/A</v>
      </c>
      <c r="K72" s="24" t="e">
        <f t="shared" si="23"/>
        <v>#N/A</v>
      </c>
      <c r="L72" s="25" t="str">
        <f t="shared" si="24"/>
        <v/>
      </c>
      <c r="M72" s="26">
        <f t="shared" si="25"/>
        <v>1</v>
      </c>
      <c r="N72" s="26"/>
      <c r="O72" s="26"/>
      <c r="P72" s="26"/>
      <c r="Q72" s="26"/>
      <c r="R72" s="24" t="str">
        <f t="shared" si="21"/>
        <v/>
      </c>
      <c r="U72" s="15" t="s">
        <v>4</v>
      </c>
      <c r="V72" s="11" t="e">
        <f>(SUM(F5:F105)*SUMSQ(E5:E105) - SUM(E5:E105)*SUMPRODUCT(E5:E105,F5:F105))/( MATCH(MAX(E5:E105),E5:E105)*SUMSQ(E5:E105) - SUM(E5:E105)^2)</f>
        <v>#DIV/0!</v>
      </c>
    </row>
    <row r="73" spans="1:23" x14ac:dyDescent="0.3">
      <c r="A73" s="21"/>
      <c r="B73" s="21"/>
      <c r="C73" s="21"/>
      <c r="D73" s="21"/>
      <c r="E73" s="31" t="str">
        <f t="shared" si="26"/>
        <v/>
      </c>
      <c r="F73" s="24" t="str">
        <f t="shared" si="18"/>
        <v/>
      </c>
      <c r="G73" s="24" t="str">
        <f>IF(SUM($H$5:H72)&lt;1,C73,"")</f>
        <v/>
      </c>
      <c r="H73" s="24">
        <f t="shared" si="19"/>
        <v>1</v>
      </c>
      <c r="I73" s="24">
        <f t="shared" si="20"/>
        <v>0</v>
      </c>
      <c r="J73" s="24" t="e">
        <f t="shared" si="22"/>
        <v>#N/A</v>
      </c>
      <c r="K73" s="24" t="e">
        <f t="shared" si="23"/>
        <v>#N/A</v>
      </c>
      <c r="L73" s="25" t="str">
        <f t="shared" si="24"/>
        <v/>
      </c>
      <c r="M73" s="26">
        <f t="shared" si="25"/>
        <v>1</v>
      </c>
      <c r="N73" s="26"/>
      <c r="O73" s="26"/>
      <c r="P73" s="26"/>
      <c r="Q73" s="26"/>
      <c r="R73" s="24" t="str">
        <f t="shared" si="21"/>
        <v/>
      </c>
      <c r="U73" s="16" t="s">
        <v>19</v>
      </c>
      <c r="V73" s="11">
        <f>(MAX(R5:R105)-MIN(R5:R105))/2</f>
        <v>0</v>
      </c>
    </row>
    <row r="74" spans="1:23" x14ac:dyDescent="0.3">
      <c r="A74" s="21"/>
      <c r="B74" s="21"/>
      <c r="C74" s="21"/>
      <c r="D74" s="21"/>
      <c r="E74" s="31" t="str">
        <f t="shared" si="26"/>
        <v/>
      </c>
      <c r="F74" s="24" t="str">
        <f t="shared" si="18"/>
        <v/>
      </c>
      <c r="G74" s="24" t="str">
        <f>IF(SUM($H$5:H73)&lt;1,C74,"")</f>
        <v/>
      </c>
      <c r="H74" s="24">
        <f t="shared" si="19"/>
        <v>1</v>
      </c>
      <c r="I74" s="24">
        <f t="shared" si="20"/>
        <v>0</v>
      </c>
      <c r="J74" s="24" t="e">
        <f t="shared" si="22"/>
        <v>#N/A</v>
      </c>
      <c r="K74" s="24" t="e">
        <f t="shared" si="23"/>
        <v>#N/A</v>
      </c>
      <c r="L74" s="25" t="str">
        <f t="shared" si="24"/>
        <v/>
      </c>
      <c r="M74" s="26">
        <f t="shared" si="25"/>
        <v>1</v>
      </c>
      <c r="N74" s="26"/>
      <c r="O74" s="26"/>
      <c r="P74" s="26"/>
      <c r="Q74" s="26"/>
      <c r="R74" s="24" t="str">
        <f t="shared" si="21"/>
        <v/>
      </c>
    </row>
    <row r="75" spans="1:23" x14ac:dyDescent="0.3">
      <c r="A75" s="21"/>
      <c r="B75" s="21"/>
      <c r="C75" s="21"/>
      <c r="D75" s="21"/>
      <c r="E75" s="31" t="str">
        <f t="shared" si="26"/>
        <v/>
      </c>
      <c r="F75" s="24" t="str">
        <f t="shared" si="18"/>
        <v/>
      </c>
      <c r="G75" s="24" t="str">
        <f>IF(SUM($H$5:H74)&lt;1,C75,"")</f>
        <v/>
      </c>
      <c r="H75" s="24">
        <f t="shared" si="19"/>
        <v>1</v>
      </c>
      <c r="I75" s="24">
        <f t="shared" si="20"/>
        <v>0</v>
      </c>
      <c r="J75" s="24" t="e">
        <f t="shared" si="22"/>
        <v>#N/A</v>
      </c>
      <c r="K75" s="24" t="e">
        <f t="shared" si="23"/>
        <v>#N/A</v>
      </c>
      <c r="L75" s="25" t="str">
        <f t="shared" si="24"/>
        <v/>
      </c>
      <c r="M75" s="26">
        <f t="shared" si="25"/>
        <v>1</v>
      </c>
      <c r="N75" s="26"/>
      <c r="O75" s="26"/>
      <c r="P75" s="26"/>
      <c r="Q75" s="26"/>
      <c r="R75" s="24" t="str">
        <f t="shared" si="21"/>
        <v/>
      </c>
      <c r="U75" s="33" t="s">
        <v>1</v>
      </c>
      <c r="V75" s="1">
        <v>0</v>
      </c>
      <c r="W75" s="1" t="e">
        <f>V72</f>
        <v>#DIV/0!</v>
      </c>
    </row>
    <row r="76" spans="1:23" x14ac:dyDescent="0.3">
      <c r="A76" s="21"/>
      <c r="B76" s="21"/>
      <c r="C76" s="21"/>
      <c r="D76" s="21"/>
      <c r="E76" s="31" t="str">
        <f t="shared" si="26"/>
        <v/>
      </c>
      <c r="F76" s="24" t="str">
        <f t="shared" si="18"/>
        <v/>
      </c>
      <c r="G76" s="24" t="str">
        <f>IF(SUM($H$5:H75)&lt;1,C76,"")</f>
        <v/>
      </c>
      <c r="H76" s="24">
        <f t="shared" si="19"/>
        <v>1</v>
      </c>
      <c r="I76" s="24">
        <f t="shared" si="20"/>
        <v>0</v>
      </c>
      <c r="J76" s="24" t="e">
        <f t="shared" si="22"/>
        <v>#N/A</v>
      </c>
      <c r="K76" s="24" t="e">
        <f t="shared" si="23"/>
        <v>#N/A</v>
      </c>
      <c r="L76" s="25" t="str">
        <f t="shared" si="24"/>
        <v/>
      </c>
      <c r="M76" s="26">
        <f t="shared" si="25"/>
        <v>1</v>
      </c>
      <c r="N76" s="26"/>
      <c r="O76" s="26"/>
      <c r="P76" s="26"/>
      <c r="Q76" s="26"/>
      <c r="R76" s="24" t="str">
        <f t="shared" si="21"/>
        <v/>
      </c>
      <c r="U76" s="33"/>
      <c r="V76" s="30">
        <f>MAX(L5:L105)</f>
        <v>0</v>
      </c>
      <c r="W76" s="1" t="e">
        <f>V71*MAX(E5:E105)+V75</f>
        <v>#N/A</v>
      </c>
    </row>
    <row r="77" spans="1:23" x14ac:dyDescent="0.3">
      <c r="A77" s="21"/>
      <c r="B77" s="21"/>
      <c r="C77" s="21"/>
      <c r="D77" s="21"/>
      <c r="E77" s="31" t="str">
        <f t="shared" si="26"/>
        <v/>
      </c>
      <c r="F77" s="24" t="str">
        <f t="shared" si="18"/>
        <v/>
      </c>
      <c r="G77" s="24" t="str">
        <f>IF(SUM($H$5:H76)&lt;1,C77,"")</f>
        <v/>
      </c>
      <c r="H77" s="24">
        <f t="shared" si="19"/>
        <v>1</v>
      </c>
      <c r="I77" s="24">
        <f t="shared" si="20"/>
        <v>0</v>
      </c>
      <c r="J77" s="24" t="e">
        <f t="shared" si="22"/>
        <v>#N/A</v>
      </c>
      <c r="K77" s="24" t="e">
        <f t="shared" si="23"/>
        <v>#N/A</v>
      </c>
      <c r="L77" s="25" t="str">
        <f t="shared" si="24"/>
        <v/>
      </c>
      <c r="M77" s="26">
        <f t="shared" si="25"/>
        <v>1</v>
      </c>
      <c r="N77" s="26"/>
      <c r="O77" s="26"/>
      <c r="P77" s="26"/>
      <c r="Q77" s="26"/>
      <c r="R77" s="24" t="str">
        <f t="shared" si="21"/>
        <v/>
      </c>
    </row>
    <row r="78" spans="1:23" x14ac:dyDescent="0.3">
      <c r="A78" s="21"/>
      <c r="B78" s="21"/>
      <c r="C78" s="21"/>
      <c r="D78" s="21"/>
      <c r="E78" s="31" t="str">
        <f t="shared" si="26"/>
        <v/>
      </c>
      <c r="F78" s="24" t="str">
        <f t="shared" si="18"/>
        <v/>
      </c>
      <c r="G78" s="24" t="str">
        <f>IF(SUM($H$5:H77)&lt;1,C78,"")</f>
        <v/>
      </c>
      <c r="H78" s="24">
        <f t="shared" si="19"/>
        <v>1</v>
      </c>
      <c r="I78" s="24">
        <f t="shared" si="20"/>
        <v>0</v>
      </c>
      <c r="J78" s="24" t="e">
        <f t="shared" si="22"/>
        <v>#N/A</v>
      </c>
      <c r="K78" s="24" t="e">
        <f t="shared" si="23"/>
        <v>#N/A</v>
      </c>
      <c r="L78" s="25" t="str">
        <f t="shared" si="24"/>
        <v/>
      </c>
      <c r="M78" s="26">
        <f t="shared" si="25"/>
        <v>1</v>
      </c>
      <c r="N78" s="26"/>
      <c r="O78" s="26"/>
      <c r="P78" s="26"/>
      <c r="Q78" s="26"/>
      <c r="R78" s="24" t="str">
        <f t="shared" si="21"/>
        <v/>
      </c>
    </row>
    <row r="79" spans="1:23" x14ac:dyDescent="0.3">
      <c r="A79" s="21"/>
      <c r="B79" s="21"/>
      <c r="C79" s="21"/>
      <c r="D79" s="21"/>
      <c r="E79" s="31" t="str">
        <f t="shared" si="26"/>
        <v/>
      </c>
      <c r="F79" s="24" t="str">
        <f t="shared" si="18"/>
        <v/>
      </c>
      <c r="G79" s="24" t="str">
        <f>IF(SUM($H$5:H78)&lt;1,C79,"")</f>
        <v/>
      </c>
      <c r="H79" s="24">
        <f t="shared" si="19"/>
        <v>1</v>
      </c>
      <c r="I79" s="24">
        <f t="shared" si="20"/>
        <v>0</v>
      </c>
      <c r="J79" s="24" t="e">
        <f t="shared" si="22"/>
        <v>#N/A</v>
      </c>
      <c r="K79" s="24" t="e">
        <f t="shared" si="23"/>
        <v>#N/A</v>
      </c>
      <c r="L79" s="25" t="str">
        <f t="shared" si="24"/>
        <v/>
      </c>
      <c r="M79" s="26">
        <f t="shared" si="25"/>
        <v>1</v>
      </c>
      <c r="N79" s="26"/>
      <c r="O79" s="26"/>
      <c r="P79" s="26"/>
      <c r="Q79" s="26"/>
      <c r="R79" s="24" t="str">
        <f t="shared" si="21"/>
        <v/>
      </c>
    </row>
    <row r="80" spans="1:23" x14ac:dyDescent="0.3">
      <c r="A80" s="21"/>
      <c r="B80" s="21"/>
      <c r="C80" s="21"/>
      <c r="D80" s="21"/>
      <c r="E80" s="31" t="str">
        <f t="shared" si="26"/>
        <v/>
      </c>
      <c r="F80" s="24" t="str">
        <f t="shared" si="18"/>
        <v/>
      </c>
      <c r="G80" s="24" t="str">
        <f>IF(SUM($H$5:H79)&lt;1,C80,"")</f>
        <v/>
      </c>
      <c r="H80" s="24">
        <f t="shared" si="19"/>
        <v>1</v>
      </c>
      <c r="I80" s="24">
        <f t="shared" si="20"/>
        <v>0</v>
      </c>
      <c r="J80" s="24" t="e">
        <f t="shared" si="22"/>
        <v>#N/A</v>
      </c>
      <c r="K80" s="24" t="e">
        <f t="shared" si="23"/>
        <v>#N/A</v>
      </c>
      <c r="L80" s="25" t="str">
        <f t="shared" si="24"/>
        <v/>
      </c>
      <c r="M80" s="26">
        <f t="shared" si="25"/>
        <v>1</v>
      </c>
      <c r="N80" s="26"/>
      <c r="O80" s="26"/>
      <c r="P80" s="26"/>
      <c r="Q80" s="26"/>
      <c r="R80" s="24" t="str">
        <f t="shared" si="21"/>
        <v/>
      </c>
    </row>
    <row r="81" spans="1:18" x14ac:dyDescent="0.3">
      <c r="A81" s="21"/>
      <c r="B81" s="21"/>
      <c r="C81" s="21"/>
      <c r="D81" s="21"/>
      <c r="E81" s="31" t="str">
        <f t="shared" si="26"/>
        <v/>
      </c>
      <c r="F81" s="24" t="str">
        <f t="shared" si="18"/>
        <v/>
      </c>
      <c r="G81" s="24" t="str">
        <f>IF(SUM($H$5:H80)&lt;1,C81,"")</f>
        <v/>
      </c>
      <c r="H81" s="24">
        <f t="shared" si="19"/>
        <v>1</v>
      </c>
      <c r="I81" s="24">
        <f t="shared" si="20"/>
        <v>0</v>
      </c>
      <c r="J81" s="24" t="e">
        <f t="shared" si="22"/>
        <v>#N/A</v>
      </c>
      <c r="K81" s="24" t="e">
        <f t="shared" si="23"/>
        <v>#N/A</v>
      </c>
      <c r="L81" s="25" t="str">
        <f t="shared" si="24"/>
        <v/>
      </c>
      <c r="M81" s="26">
        <f t="shared" si="25"/>
        <v>1</v>
      </c>
      <c r="N81" s="26"/>
      <c r="O81" s="26"/>
      <c r="P81" s="26"/>
      <c r="Q81" s="26"/>
      <c r="R81" s="24" t="str">
        <f t="shared" si="21"/>
        <v/>
      </c>
    </row>
    <row r="82" spans="1:18" x14ac:dyDescent="0.3">
      <c r="A82" s="21"/>
      <c r="B82" s="21"/>
      <c r="C82" s="21"/>
      <c r="D82" s="21"/>
      <c r="E82" s="31" t="str">
        <f t="shared" si="26"/>
        <v/>
      </c>
      <c r="F82" s="24" t="str">
        <f t="shared" si="18"/>
        <v/>
      </c>
      <c r="G82" s="24" t="str">
        <f>IF(SUM($H$5:H81)&lt;1,C82,"")</f>
        <v/>
      </c>
      <c r="H82" s="24">
        <f t="shared" si="19"/>
        <v>1</v>
      </c>
      <c r="I82" s="24">
        <f t="shared" si="20"/>
        <v>0</v>
      </c>
      <c r="J82" s="24" t="e">
        <f t="shared" si="22"/>
        <v>#N/A</v>
      </c>
      <c r="K82" s="24" t="e">
        <f t="shared" si="23"/>
        <v>#N/A</v>
      </c>
      <c r="L82" s="25" t="str">
        <f t="shared" si="24"/>
        <v/>
      </c>
      <c r="M82" s="26">
        <f t="shared" si="25"/>
        <v>1</v>
      </c>
      <c r="N82" s="26"/>
      <c r="O82" s="26"/>
      <c r="P82" s="26"/>
      <c r="Q82" s="26"/>
      <c r="R82" s="24" t="str">
        <f t="shared" si="21"/>
        <v/>
      </c>
    </row>
    <row r="83" spans="1:18" x14ac:dyDescent="0.3">
      <c r="A83" s="21"/>
      <c r="B83" s="21"/>
      <c r="C83" s="21"/>
      <c r="D83" s="21"/>
      <c r="E83" s="31" t="str">
        <f t="shared" si="26"/>
        <v/>
      </c>
      <c r="F83" s="24" t="str">
        <f t="shared" si="18"/>
        <v/>
      </c>
      <c r="G83" s="24" t="str">
        <f>IF(SUM($H$5:H82)&lt;1,C83,"")</f>
        <v/>
      </c>
      <c r="H83" s="24">
        <f t="shared" si="19"/>
        <v>1</v>
      </c>
      <c r="I83" s="24">
        <f t="shared" si="20"/>
        <v>0</v>
      </c>
      <c r="J83" s="24" t="e">
        <f t="shared" si="22"/>
        <v>#N/A</v>
      </c>
      <c r="K83" s="24" t="e">
        <f t="shared" si="23"/>
        <v>#N/A</v>
      </c>
      <c r="L83" s="25" t="str">
        <f t="shared" si="24"/>
        <v/>
      </c>
      <c r="M83" s="26">
        <f t="shared" si="25"/>
        <v>1</v>
      </c>
      <c r="N83" s="26"/>
      <c r="O83" s="26"/>
      <c r="P83" s="26"/>
      <c r="Q83" s="26"/>
      <c r="R83" s="24" t="str">
        <f t="shared" si="21"/>
        <v/>
      </c>
    </row>
    <row r="84" spans="1:18" x14ac:dyDescent="0.3">
      <c r="A84" s="21"/>
      <c r="B84" s="21"/>
      <c r="C84" s="21"/>
      <c r="D84" s="21"/>
      <c r="E84" s="31" t="str">
        <f t="shared" si="26"/>
        <v/>
      </c>
      <c r="F84" s="24" t="str">
        <f t="shared" si="18"/>
        <v/>
      </c>
      <c r="G84" s="24" t="str">
        <f>IF(SUM($H$5:H83)&lt;1,C84,"")</f>
        <v/>
      </c>
      <c r="H84" s="24">
        <f t="shared" si="19"/>
        <v>1</v>
      </c>
      <c r="I84" s="24">
        <f t="shared" si="20"/>
        <v>0</v>
      </c>
      <c r="J84" s="24" t="e">
        <f t="shared" si="22"/>
        <v>#N/A</v>
      </c>
      <c r="K84" s="24" t="e">
        <f t="shared" si="23"/>
        <v>#N/A</v>
      </c>
      <c r="L84" s="25" t="str">
        <f t="shared" si="24"/>
        <v/>
      </c>
      <c r="M84" s="26">
        <f t="shared" si="25"/>
        <v>1</v>
      </c>
      <c r="N84" s="26"/>
      <c r="O84" s="26"/>
      <c r="P84" s="26"/>
      <c r="Q84" s="26"/>
      <c r="R84" s="24" t="str">
        <f t="shared" si="21"/>
        <v/>
      </c>
    </row>
    <row r="85" spans="1:18" x14ac:dyDescent="0.3">
      <c r="A85" s="21"/>
      <c r="B85" s="21"/>
      <c r="C85" s="21"/>
      <c r="D85" s="21"/>
      <c r="E85" s="31" t="str">
        <f t="shared" si="26"/>
        <v/>
      </c>
      <c r="F85" s="24" t="str">
        <f t="shared" si="18"/>
        <v/>
      </c>
      <c r="G85" s="24" t="str">
        <f>IF(SUM($H$5:H84)&lt;1,C85,"")</f>
        <v/>
      </c>
      <c r="H85" s="24">
        <f t="shared" si="19"/>
        <v>1</v>
      </c>
      <c r="I85" s="24">
        <f t="shared" si="20"/>
        <v>0</v>
      </c>
      <c r="J85" s="24" t="e">
        <f t="shared" si="22"/>
        <v>#N/A</v>
      </c>
      <c r="K85" s="24" t="e">
        <f t="shared" si="23"/>
        <v>#N/A</v>
      </c>
      <c r="L85" s="25" t="str">
        <f t="shared" si="24"/>
        <v/>
      </c>
      <c r="M85" s="26">
        <f t="shared" si="25"/>
        <v>1</v>
      </c>
      <c r="N85" s="26"/>
      <c r="O85" s="26"/>
      <c r="P85" s="26"/>
      <c r="Q85" s="26"/>
      <c r="R85" s="24" t="str">
        <f t="shared" si="21"/>
        <v/>
      </c>
    </row>
    <row r="86" spans="1:18" x14ac:dyDescent="0.3">
      <c r="A86" s="21"/>
      <c r="B86" s="21"/>
      <c r="C86" s="21"/>
      <c r="D86" s="21"/>
      <c r="E86" s="31" t="str">
        <f t="shared" si="26"/>
        <v/>
      </c>
      <c r="F86" s="24" t="str">
        <f t="shared" si="18"/>
        <v/>
      </c>
      <c r="G86" s="24" t="str">
        <f>IF(SUM($H$5:H85)&lt;1,C86,"")</f>
        <v/>
      </c>
      <c r="H86" s="24">
        <f t="shared" si="19"/>
        <v>1</v>
      </c>
      <c r="I86" s="24">
        <f t="shared" si="20"/>
        <v>0</v>
      </c>
      <c r="J86" s="24" t="e">
        <f t="shared" si="22"/>
        <v>#N/A</v>
      </c>
      <c r="K86" s="24" t="e">
        <f t="shared" si="23"/>
        <v>#N/A</v>
      </c>
      <c r="L86" s="25" t="str">
        <f t="shared" si="24"/>
        <v/>
      </c>
      <c r="M86" s="26">
        <f t="shared" si="25"/>
        <v>1</v>
      </c>
      <c r="N86" s="26"/>
      <c r="O86" s="26"/>
      <c r="P86" s="26"/>
      <c r="Q86" s="26"/>
      <c r="R86" s="24" t="str">
        <f t="shared" si="21"/>
        <v/>
      </c>
    </row>
    <row r="87" spans="1:18" x14ac:dyDescent="0.3">
      <c r="A87" s="21"/>
      <c r="B87" s="21"/>
      <c r="C87" s="21"/>
      <c r="D87" s="21"/>
      <c r="E87" s="31" t="str">
        <f t="shared" si="26"/>
        <v/>
      </c>
      <c r="F87" s="24" t="str">
        <f t="shared" si="18"/>
        <v/>
      </c>
      <c r="G87" s="24" t="str">
        <f>IF(SUM($H$5:H86)&lt;1,C87,"")</f>
        <v/>
      </c>
      <c r="H87" s="24">
        <f t="shared" si="19"/>
        <v>1</v>
      </c>
      <c r="I87" s="24">
        <f t="shared" si="20"/>
        <v>0</v>
      </c>
      <c r="J87" s="24" t="e">
        <f t="shared" si="22"/>
        <v>#N/A</v>
      </c>
      <c r="K87" s="24" t="e">
        <f t="shared" si="23"/>
        <v>#N/A</v>
      </c>
      <c r="L87" s="25" t="str">
        <f t="shared" si="24"/>
        <v/>
      </c>
      <c r="M87" s="26">
        <f t="shared" si="25"/>
        <v>1</v>
      </c>
      <c r="N87" s="26"/>
      <c r="O87" s="26"/>
      <c r="P87" s="26"/>
      <c r="Q87" s="26"/>
      <c r="R87" s="24" t="str">
        <f t="shared" si="21"/>
        <v/>
      </c>
    </row>
    <row r="88" spans="1:18" x14ac:dyDescent="0.3">
      <c r="A88" s="21"/>
      <c r="B88" s="21"/>
      <c r="C88" s="21"/>
      <c r="D88" s="21"/>
      <c r="E88" s="31" t="str">
        <f t="shared" si="26"/>
        <v/>
      </c>
      <c r="F88" s="24" t="str">
        <f t="shared" si="18"/>
        <v/>
      </c>
      <c r="G88" s="24" t="str">
        <f>IF(SUM($H$5:H87)&lt;1,C88,"")</f>
        <v/>
      </c>
      <c r="H88" s="24">
        <f t="shared" si="19"/>
        <v>1</v>
      </c>
      <c r="I88" s="24">
        <f t="shared" si="20"/>
        <v>0</v>
      </c>
      <c r="J88" s="24" t="e">
        <f t="shared" si="22"/>
        <v>#N/A</v>
      </c>
      <c r="K88" s="24" t="e">
        <f t="shared" si="23"/>
        <v>#N/A</v>
      </c>
      <c r="L88" s="25" t="str">
        <f t="shared" si="24"/>
        <v/>
      </c>
      <c r="M88" s="26">
        <f t="shared" si="25"/>
        <v>1</v>
      </c>
      <c r="N88" s="26"/>
      <c r="O88" s="26"/>
      <c r="P88" s="26"/>
      <c r="Q88" s="26"/>
      <c r="R88" s="24" t="str">
        <f t="shared" si="21"/>
        <v/>
      </c>
    </row>
    <row r="89" spans="1:18" x14ac:dyDescent="0.3">
      <c r="A89" s="21"/>
      <c r="B89" s="21"/>
      <c r="C89" s="21"/>
      <c r="D89" s="21"/>
      <c r="E89" s="31" t="str">
        <f t="shared" si="26"/>
        <v/>
      </c>
      <c r="F89" s="24" t="str">
        <f t="shared" si="18"/>
        <v/>
      </c>
      <c r="G89" s="24" t="str">
        <f>IF(SUM($H$5:H88)&lt;1,C89,"")</f>
        <v/>
      </c>
      <c r="H89" s="24">
        <f t="shared" si="19"/>
        <v>1</v>
      </c>
      <c r="I89" s="24">
        <f t="shared" si="20"/>
        <v>0</v>
      </c>
      <c r="J89" s="24" t="e">
        <f t="shared" si="22"/>
        <v>#N/A</v>
      </c>
      <c r="K89" s="24" t="e">
        <f t="shared" si="23"/>
        <v>#N/A</v>
      </c>
      <c r="L89" s="25" t="str">
        <f t="shared" si="24"/>
        <v/>
      </c>
      <c r="M89" s="26">
        <f t="shared" si="25"/>
        <v>1</v>
      </c>
      <c r="N89" s="26"/>
      <c r="O89" s="26"/>
      <c r="P89" s="26"/>
      <c r="Q89" s="26"/>
      <c r="R89" s="24" t="str">
        <f t="shared" si="21"/>
        <v/>
      </c>
    </row>
    <row r="90" spans="1:18" x14ac:dyDescent="0.3">
      <c r="A90" s="21"/>
      <c r="B90" s="21"/>
      <c r="C90" s="21"/>
      <c r="D90" s="21"/>
      <c r="E90" s="31" t="str">
        <f t="shared" si="26"/>
        <v/>
      </c>
      <c r="F90" s="24" t="str">
        <f t="shared" si="18"/>
        <v/>
      </c>
      <c r="G90" s="24" t="str">
        <f>IF(SUM($H$5:H89)&lt;1,C90,"")</f>
        <v/>
      </c>
      <c r="H90" s="24">
        <f t="shared" si="19"/>
        <v>1</v>
      </c>
      <c r="I90" s="24">
        <f t="shared" si="20"/>
        <v>0</v>
      </c>
      <c r="J90" s="24" t="e">
        <f t="shared" si="22"/>
        <v>#N/A</v>
      </c>
      <c r="K90" s="24" t="e">
        <f t="shared" si="23"/>
        <v>#N/A</v>
      </c>
      <c r="L90" s="25" t="str">
        <f t="shared" si="24"/>
        <v/>
      </c>
      <c r="M90" s="26">
        <f t="shared" si="25"/>
        <v>1</v>
      </c>
      <c r="N90" s="26"/>
      <c r="O90" s="26"/>
      <c r="P90" s="26"/>
      <c r="Q90" s="26"/>
      <c r="R90" s="24" t="str">
        <f t="shared" si="21"/>
        <v/>
      </c>
    </row>
    <row r="91" spans="1:18" x14ac:dyDescent="0.3">
      <c r="A91" s="21"/>
      <c r="B91" s="21"/>
      <c r="C91" s="21"/>
      <c r="D91" s="21"/>
      <c r="E91" s="31" t="str">
        <f t="shared" si="26"/>
        <v/>
      </c>
      <c r="F91" s="24" t="str">
        <f t="shared" si="18"/>
        <v/>
      </c>
      <c r="G91" s="24" t="str">
        <f>IF(SUM($H$5:H90)&lt;1,C91,"")</f>
        <v/>
      </c>
      <c r="H91" s="24">
        <f t="shared" si="19"/>
        <v>1</v>
      </c>
      <c r="I91" s="24">
        <f t="shared" si="20"/>
        <v>0</v>
      </c>
      <c r="J91" s="24" t="e">
        <f t="shared" si="22"/>
        <v>#N/A</v>
      </c>
      <c r="K91" s="24" t="e">
        <f t="shared" si="23"/>
        <v>#N/A</v>
      </c>
      <c r="L91" s="25" t="str">
        <f t="shared" si="24"/>
        <v/>
      </c>
      <c r="M91" s="26">
        <f t="shared" si="25"/>
        <v>1</v>
      </c>
      <c r="N91" s="26"/>
      <c r="O91" s="26"/>
      <c r="P91" s="26"/>
      <c r="Q91" s="26"/>
      <c r="R91" s="24" t="str">
        <f t="shared" si="21"/>
        <v/>
      </c>
    </row>
    <row r="92" spans="1:18" x14ac:dyDescent="0.3">
      <c r="A92" s="21"/>
      <c r="B92" s="21"/>
      <c r="C92" s="21"/>
      <c r="D92" s="21"/>
      <c r="E92" s="31" t="str">
        <f t="shared" si="26"/>
        <v/>
      </c>
      <c r="F92" s="24" t="str">
        <f t="shared" si="18"/>
        <v/>
      </c>
      <c r="G92" s="24" t="str">
        <f>IF(SUM($H$5:H91)&lt;1,C92,"")</f>
        <v/>
      </c>
      <c r="H92" s="24">
        <f t="shared" si="19"/>
        <v>1</v>
      </c>
      <c r="I92" s="24">
        <f t="shared" si="20"/>
        <v>0</v>
      </c>
      <c r="J92" s="24" t="e">
        <f t="shared" si="22"/>
        <v>#N/A</v>
      </c>
      <c r="K92" s="24" t="e">
        <f t="shared" si="23"/>
        <v>#N/A</v>
      </c>
      <c r="L92" s="25" t="str">
        <f t="shared" si="24"/>
        <v/>
      </c>
      <c r="M92" s="26">
        <f t="shared" si="25"/>
        <v>1</v>
      </c>
      <c r="N92" s="26"/>
      <c r="O92" s="26"/>
      <c r="P92" s="26"/>
      <c r="Q92" s="26"/>
      <c r="R92" s="24" t="str">
        <f t="shared" si="21"/>
        <v/>
      </c>
    </row>
    <row r="93" spans="1:18" x14ac:dyDescent="0.3">
      <c r="A93" s="21"/>
      <c r="B93" s="21"/>
      <c r="C93" s="21"/>
      <c r="D93" s="21"/>
      <c r="E93" s="31" t="str">
        <f t="shared" si="26"/>
        <v/>
      </c>
      <c r="F93" s="24" t="str">
        <f t="shared" si="18"/>
        <v/>
      </c>
      <c r="G93" s="24" t="str">
        <f>IF(SUM($H$5:H92)&lt;1,C93,"")</f>
        <v/>
      </c>
      <c r="H93" s="24">
        <f t="shared" si="19"/>
        <v>1</v>
      </c>
      <c r="I93" s="24">
        <f t="shared" si="20"/>
        <v>0</v>
      </c>
      <c r="J93" s="24" t="e">
        <f t="shared" si="22"/>
        <v>#N/A</v>
      </c>
      <c r="K93" s="24" t="e">
        <f t="shared" si="23"/>
        <v>#N/A</v>
      </c>
      <c r="L93" s="25" t="str">
        <f t="shared" si="24"/>
        <v/>
      </c>
      <c r="M93" s="26">
        <f t="shared" si="25"/>
        <v>1</v>
      </c>
      <c r="N93" s="26"/>
      <c r="O93" s="26"/>
      <c r="P93" s="26"/>
      <c r="Q93" s="26"/>
      <c r="R93" s="24" t="str">
        <f t="shared" si="21"/>
        <v/>
      </c>
    </row>
    <row r="94" spans="1:18" x14ac:dyDescent="0.3">
      <c r="A94" s="21"/>
      <c r="B94" s="21"/>
      <c r="C94" s="21"/>
      <c r="D94" s="21"/>
      <c r="E94" s="31" t="str">
        <f t="shared" si="26"/>
        <v/>
      </c>
      <c r="F94" s="24" t="str">
        <f t="shared" si="18"/>
        <v/>
      </c>
      <c r="G94" s="24" t="str">
        <f>IF(SUM($H$5:H93)&lt;1,C94,"")</f>
        <v/>
      </c>
      <c r="H94" s="24">
        <f t="shared" si="19"/>
        <v>1</v>
      </c>
      <c r="I94" s="24">
        <f t="shared" si="20"/>
        <v>0</v>
      </c>
      <c r="J94" s="24" t="e">
        <f t="shared" si="22"/>
        <v>#N/A</v>
      </c>
      <c r="K94" s="24" t="e">
        <f t="shared" si="23"/>
        <v>#N/A</v>
      </c>
      <c r="L94" s="25" t="str">
        <f t="shared" si="24"/>
        <v/>
      </c>
      <c r="M94" s="26">
        <f t="shared" si="25"/>
        <v>1</v>
      </c>
      <c r="N94" s="26"/>
      <c r="O94" s="26"/>
      <c r="P94" s="26"/>
      <c r="Q94" s="26"/>
      <c r="R94" s="24" t="str">
        <f t="shared" si="21"/>
        <v/>
      </c>
    </row>
    <row r="95" spans="1:18" x14ac:dyDescent="0.3">
      <c r="A95" s="21"/>
      <c r="B95" s="21"/>
      <c r="C95" s="21"/>
      <c r="D95" s="21"/>
      <c r="E95" s="31" t="str">
        <f t="shared" si="26"/>
        <v/>
      </c>
      <c r="F95" s="24" t="str">
        <f t="shared" si="18"/>
        <v/>
      </c>
      <c r="G95" s="24" t="str">
        <f>IF(SUM($H$5:H94)&lt;1,C95,"")</f>
        <v/>
      </c>
      <c r="H95" s="24">
        <f t="shared" si="19"/>
        <v>1</v>
      </c>
      <c r="I95" s="24">
        <f t="shared" si="20"/>
        <v>0</v>
      </c>
      <c r="J95" s="24" t="e">
        <f t="shared" si="22"/>
        <v>#N/A</v>
      </c>
      <c r="K95" s="24" t="e">
        <f t="shared" si="23"/>
        <v>#N/A</v>
      </c>
      <c r="L95" s="25" t="str">
        <f t="shared" si="24"/>
        <v/>
      </c>
      <c r="M95" s="26">
        <f t="shared" si="25"/>
        <v>1</v>
      </c>
      <c r="N95" s="26"/>
      <c r="O95" s="26"/>
      <c r="P95" s="26"/>
      <c r="Q95" s="26"/>
      <c r="R95" s="24" t="str">
        <f t="shared" si="21"/>
        <v/>
      </c>
    </row>
    <row r="96" spans="1:18" x14ac:dyDescent="0.3">
      <c r="A96" s="21"/>
      <c r="B96" s="21"/>
      <c r="C96" s="21"/>
      <c r="D96" s="21"/>
      <c r="E96" s="31" t="str">
        <f t="shared" si="26"/>
        <v/>
      </c>
      <c r="F96" s="24" t="str">
        <f t="shared" si="18"/>
        <v/>
      </c>
      <c r="G96" s="24" t="str">
        <f>IF(SUM($H$5:H95)&lt;1,C96,"")</f>
        <v/>
      </c>
      <c r="H96" s="24">
        <f t="shared" si="19"/>
        <v>1</v>
      </c>
      <c r="I96" s="24">
        <f t="shared" si="20"/>
        <v>0</v>
      </c>
      <c r="J96" s="24" t="e">
        <f t="shared" si="22"/>
        <v>#N/A</v>
      </c>
      <c r="K96" s="24" t="e">
        <f t="shared" si="23"/>
        <v>#N/A</v>
      </c>
      <c r="L96" s="25" t="str">
        <f t="shared" si="24"/>
        <v/>
      </c>
      <c r="M96" s="26">
        <f t="shared" si="25"/>
        <v>1</v>
      </c>
      <c r="N96" s="26"/>
      <c r="O96" s="26"/>
      <c r="P96" s="26"/>
      <c r="Q96" s="26"/>
      <c r="R96" s="24" t="str">
        <f t="shared" si="21"/>
        <v/>
      </c>
    </row>
    <row r="97" spans="1:18" x14ac:dyDescent="0.3">
      <c r="A97" s="21"/>
      <c r="B97" s="21"/>
      <c r="C97" s="21"/>
      <c r="D97" s="21"/>
      <c r="E97" s="31" t="str">
        <f t="shared" si="26"/>
        <v/>
      </c>
      <c r="F97" s="24" t="str">
        <f t="shared" si="18"/>
        <v/>
      </c>
      <c r="G97" s="24" t="str">
        <f>IF(SUM($H$5:H96)&lt;1,C97,"")</f>
        <v/>
      </c>
      <c r="H97" s="24">
        <f t="shared" si="19"/>
        <v>1</v>
      </c>
      <c r="I97" s="24">
        <f t="shared" si="20"/>
        <v>0</v>
      </c>
      <c r="J97" s="24" t="e">
        <f t="shared" si="22"/>
        <v>#N/A</v>
      </c>
      <c r="K97" s="24" t="e">
        <f t="shared" si="23"/>
        <v>#N/A</v>
      </c>
      <c r="L97" s="25" t="str">
        <f t="shared" si="24"/>
        <v/>
      </c>
      <c r="M97" s="26">
        <f t="shared" si="25"/>
        <v>1</v>
      </c>
      <c r="N97" s="26"/>
      <c r="O97" s="26"/>
      <c r="P97" s="26"/>
      <c r="Q97" s="26"/>
      <c r="R97" s="24" t="str">
        <f t="shared" si="21"/>
        <v/>
      </c>
    </row>
    <row r="98" spans="1:18" x14ac:dyDescent="0.3">
      <c r="A98" s="21"/>
      <c r="B98" s="21"/>
      <c r="C98" s="21"/>
      <c r="D98" s="21"/>
      <c r="E98" s="31" t="str">
        <f t="shared" si="26"/>
        <v/>
      </c>
      <c r="F98" s="24" t="str">
        <f t="shared" si="18"/>
        <v/>
      </c>
      <c r="G98" s="24" t="str">
        <f>IF(SUM($H$5:H97)&lt;1,C98,"")</f>
        <v/>
      </c>
      <c r="H98" s="24">
        <f t="shared" si="19"/>
        <v>1</v>
      </c>
      <c r="I98" s="24">
        <f t="shared" si="20"/>
        <v>0</v>
      </c>
      <c r="J98" s="24" t="e">
        <f t="shared" si="22"/>
        <v>#N/A</v>
      </c>
      <c r="K98" s="24" t="e">
        <f t="shared" si="23"/>
        <v>#N/A</v>
      </c>
      <c r="L98" s="25" t="str">
        <f t="shared" si="24"/>
        <v/>
      </c>
      <c r="M98" s="26">
        <f t="shared" si="25"/>
        <v>1</v>
      </c>
      <c r="N98" s="26"/>
      <c r="O98" s="26"/>
      <c r="P98" s="26"/>
      <c r="Q98" s="26"/>
      <c r="R98" s="24" t="str">
        <f t="shared" si="21"/>
        <v/>
      </c>
    </row>
    <row r="99" spans="1:18" x14ac:dyDescent="0.3">
      <c r="A99" s="21"/>
      <c r="B99" s="21"/>
      <c r="C99" s="21"/>
      <c r="D99" s="21"/>
      <c r="E99" s="31" t="str">
        <f t="shared" si="26"/>
        <v/>
      </c>
      <c r="F99" s="24" t="str">
        <f t="shared" si="18"/>
        <v/>
      </c>
      <c r="G99" s="24" t="str">
        <f>IF(SUM($H$5:H98)&lt;1,C99,"")</f>
        <v/>
      </c>
      <c r="H99" s="24">
        <f t="shared" si="19"/>
        <v>1</v>
      </c>
      <c r="I99" s="24">
        <f t="shared" si="20"/>
        <v>0</v>
      </c>
      <c r="J99" s="24" t="e">
        <f t="shared" si="22"/>
        <v>#N/A</v>
      </c>
      <c r="K99" s="24" t="e">
        <f t="shared" si="23"/>
        <v>#N/A</v>
      </c>
      <c r="L99" s="25" t="str">
        <f t="shared" si="24"/>
        <v/>
      </c>
      <c r="M99" s="26">
        <f t="shared" si="25"/>
        <v>1</v>
      </c>
      <c r="N99" s="26"/>
      <c r="O99" s="26"/>
      <c r="P99" s="26"/>
      <c r="Q99" s="26"/>
      <c r="R99" s="24" t="str">
        <f t="shared" si="21"/>
        <v/>
      </c>
    </row>
    <row r="100" spans="1:18" x14ac:dyDescent="0.3">
      <c r="A100" s="21"/>
      <c r="B100" s="21"/>
      <c r="C100" s="21"/>
      <c r="D100" s="21"/>
      <c r="E100" s="31" t="str">
        <f t="shared" si="26"/>
        <v/>
      </c>
      <c r="F100" s="24" t="str">
        <f t="shared" si="18"/>
        <v/>
      </c>
      <c r="G100" s="24" t="str">
        <f>IF(SUM($H$5:H99)&lt;1,C100,"")</f>
        <v/>
      </c>
      <c r="H100" s="24">
        <f t="shared" si="19"/>
        <v>1</v>
      </c>
      <c r="I100" s="24">
        <f t="shared" si="20"/>
        <v>0</v>
      </c>
      <c r="J100" s="24" t="e">
        <f t="shared" si="22"/>
        <v>#N/A</v>
      </c>
      <c r="K100" s="24" t="e">
        <f t="shared" si="23"/>
        <v>#N/A</v>
      </c>
      <c r="L100" s="25" t="str">
        <f t="shared" si="24"/>
        <v/>
      </c>
      <c r="M100" s="26">
        <f t="shared" si="25"/>
        <v>1</v>
      </c>
      <c r="N100" s="26"/>
      <c r="O100" s="26"/>
      <c r="P100" s="26"/>
      <c r="Q100" s="26"/>
      <c r="R100" s="24" t="str">
        <f t="shared" si="21"/>
        <v/>
      </c>
    </row>
    <row r="101" spans="1:18" x14ac:dyDescent="0.3">
      <c r="A101" s="21"/>
      <c r="B101" s="21"/>
      <c r="C101" s="21"/>
      <c r="D101" s="21"/>
      <c r="E101" s="31" t="str">
        <f t="shared" si="26"/>
        <v/>
      </c>
      <c r="F101" s="24" t="str">
        <f t="shared" ref="F101:F105" si="27">IF(G101="","",B101)</f>
        <v/>
      </c>
      <c r="G101" s="24" t="str">
        <f>IF(SUM($H$5:H100)&lt;1,C101,"")</f>
        <v/>
      </c>
      <c r="H101" s="24">
        <f t="shared" si="19"/>
        <v>1</v>
      </c>
      <c r="I101" s="24">
        <f t="shared" si="20"/>
        <v>0</v>
      </c>
      <c r="J101" s="24" t="e">
        <f t="shared" si="22"/>
        <v>#N/A</v>
      </c>
      <c r="K101" s="24" t="e">
        <f t="shared" si="23"/>
        <v>#N/A</v>
      </c>
      <c r="L101" s="25" t="str">
        <f t="shared" si="24"/>
        <v/>
      </c>
      <c r="M101" s="26">
        <f t="shared" si="25"/>
        <v>1</v>
      </c>
      <c r="N101" s="26"/>
      <c r="O101" s="26"/>
      <c r="P101" s="26"/>
      <c r="Q101" s="26"/>
      <c r="R101" s="24" t="str">
        <f t="shared" si="21"/>
        <v/>
      </c>
    </row>
    <row r="102" spans="1:18" x14ac:dyDescent="0.3">
      <c r="A102" s="21"/>
      <c r="B102" s="21"/>
      <c r="C102" s="21"/>
      <c r="D102" s="21"/>
      <c r="E102" s="31" t="str">
        <f t="shared" si="26"/>
        <v/>
      </c>
      <c r="F102" s="24" t="str">
        <f t="shared" si="27"/>
        <v/>
      </c>
      <c r="G102" s="24" t="str">
        <f>IF(SUM($H$5:H101)&lt;1,C102,"")</f>
        <v/>
      </c>
      <c r="H102" s="24">
        <f t="shared" si="19"/>
        <v>1</v>
      </c>
      <c r="I102" s="24">
        <f t="shared" si="20"/>
        <v>0</v>
      </c>
      <c r="J102" s="24" t="e">
        <f t="shared" si="22"/>
        <v>#N/A</v>
      </c>
      <c r="K102" s="24" t="e">
        <f t="shared" si="23"/>
        <v>#N/A</v>
      </c>
      <c r="L102" s="25" t="str">
        <f t="shared" si="24"/>
        <v/>
      </c>
      <c r="M102" s="26">
        <f t="shared" si="25"/>
        <v>1</v>
      </c>
      <c r="N102" s="26"/>
      <c r="O102" s="26"/>
      <c r="P102" s="26"/>
      <c r="Q102" s="26"/>
      <c r="R102" s="24" t="str">
        <f t="shared" si="21"/>
        <v/>
      </c>
    </row>
    <row r="103" spans="1:18" x14ac:dyDescent="0.3">
      <c r="A103" s="21"/>
      <c r="B103" s="21"/>
      <c r="C103" s="21"/>
      <c r="D103" s="21"/>
      <c r="E103" s="31" t="str">
        <f t="shared" si="26"/>
        <v/>
      </c>
      <c r="F103" s="24" t="str">
        <f t="shared" si="27"/>
        <v/>
      </c>
      <c r="G103" s="24" t="str">
        <f>IF(SUM($H$5:H102)&lt;1,C103,"")</f>
        <v/>
      </c>
      <c r="H103" s="24">
        <f t="shared" si="19"/>
        <v>1</v>
      </c>
      <c r="I103" s="24">
        <f t="shared" si="20"/>
        <v>0</v>
      </c>
      <c r="J103" s="24" t="e">
        <f t="shared" si="22"/>
        <v>#N/A</v>
      </c>
      <c r="K103" s="24" t="e">
        <f t="shared" si="23"/>
        <v>#N/A</v>
      </c>
      <c r="L103" s="25" t="str">
        <f t="shared" si="24"/>
        <v/>
      </c>
      <c r="M103" s="26">
        <f t="shared" si="25"/>
        <v>1</v>
      </c>
      <c r="N103" s="26"/>
      <c r="O103" s="26"/>
      <c r="P103" s="26"/>
      <c r="Q103" s="26"/>
      <c r="R103" s="24" t="str">
        <f t="shared" si="21"/>
        <v/>
      </c>
    </row>
    <row r="104" spans="1:18" x14ac:dyDescent="0.3">
      <c r="A104" s="21"/>
      <c r="B104" s="21"/>
      <c r="C104" s="21"/>
      <c r="D104" s="21"/>
      <c r="E104" s="31" t="str">
        <f t="shared" si="26"/>
        <v/>
      </c>
      <c r="F104" s="24" t="str">
        <f t="shared" si="27"/>
        <v/>
      </c>
      <c r="G104" s="24" t="str">
        <f>IF(SUM($H$5:H103)&lt;1,C104,"")</f>
        <v/>
      </c>
      <c r="H104" s="24">
        <f t="shared" si="19"/>
        <v>1</v>
      </c>
      <c r="I104" s="24">
        <f t="shared" si="20"/>
        <v>0</v>
      </c>
      <c r="J104" s="24" t="e">
        <f t="shared" si="22"/>
        <v>#N/A</v>
      </c>
      <c r="K104" s="24" t="e">
        <f t="shared" si="23"/>
        <v>#N/A</v>
      </c>
      <c r="L104" s="25" t="str">
        <f t="shared" si="24"/>
        <v/>
      </c>
      <c r="M104" s="26">
        <f t="shared" si="25"/>
        <v>1</v>
      </c>
      <c r="N104" s="26"/>
      <c r="O104" s="26"/>
      <c r="P104" s="26"/>
      <c r="Q104" s="26"/>
      <c r="R104" s="24" t="str">
        <f t="shared" si="21"/>
        <v/>
      </c>
    </row>
    <row r="105" spans="1:18" x14ac:dyDescent="0.3">
      <c r="A105" s="21"/>
      <c r="B105" s="21"/>
      <c r="C105" s="21"/>
      <c r="D105" s="21"/>
      <c r="E105" s="31" t="str">
        <f t="shared" si="26"/>
        <v/>
      </c>
      <c r="F105" s="24" t="str">
        <f t="shared" si="27"/>
        <v/>
      </c>
      <c r="G105" s="24" t="str">
        <f>IF(SUM($H$5:H104)&lt;1,C105,"")</f>
        <v/>
      </c>
      <c r="H105" s="24">
        <f t="shared" si="19"/>
        <v>1</v>
      </c>
      <c r="I105" s="24">
        <f t="shared" si="20"/>
        <v>0</v>
      </c>
      <c r="J105" s="24" t="e">
        <f t="shared" si="22"/>
        <v>#N/A</v>
      </c>
      <c r="K105" s="24" t="e">
        <f t="shared" si="23"/>
        <v>#N/A</v>
      </c>
      <c r="L105" s="25" t="str">
        <f t="shared" si="24"/>
        <v/>
      </c>
      <c r="M105" s="26">
        <f t="shared" si="25"/>
        <v>1</v>
      </c>
      <c r="N105" s="26"/>
      <c r="O105" s="26"/>
      <c r="P105" s="26"/>
      <c r="Q105" s="26"/>
      <c r="R105" s="24" t="str">
        <f t="shared" si="21"/>
        <v/>
      </c>
    </row>
  </sheetData>
  <mergeCells count="19">
    <mergeCell ref="A3:A4"/>
    <mergeCell ref="U27:U28"/>
    <mergeCell ref="B1:M1"/>
    <mergeCell ref="D3:D4"/>
    <mergeCell ref="B3:B4"/>
    <mergeCell ref="C3:C4"/>
    <mergeCell ref="E2:R2"/>
    <mergeCell ref="E3:E4"/>
    <mergeCell ref="A2:D2"/>
    <mergeCell ref="U39:U40"/>
    <mergeCell ref="U41:U42"/>
    <mergeCell ref="T25:T28"/>
    <mergeCell ref="J3:K3"/>
    <mergeCell ref="F3:F4"/>
    <mergeCell ref="G3:G4"/>
    <mergeCell ref="I3:I4"/>
    <mergeCell ref="L3:L4"/>
    <mergeCell ref="M3:M4"/>
    <mergeCell ref="R3:R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B9B38-FBF4-4864-B550-954FBB65BFFF}">
  <dimension ref="A1:X105"/>
  <sheetViews>
    <sheetView topLeftCell="B1" zoomScale="85" zoomScaleNormal="85" workbookViewId="0">
      <selection activeCell="U21" sqref="U21"/>
    </sheetView>
  </sheetViews>
  <sheetFormatPr defaultRowHeight="16.5" x14ac:dyDescent="0.3"/>
  <cols>
    <col min="1" max="1" width="10.75" customWidth="1"/>
    <col min="2" max="3" width="10.375" style="22" customWidth="1"/>
    <col min="4" max="4" width="9.125" style="22" customWidth="1"/>
    <col min="5" max="5" width="4.875" style="32" customWidth="1"/>
    <col min="6" max="6" width="10.875" style="18" customWidth="1"/>
    <col min="7" max="7" width="5.875" style="18" customWidth="1"/>
    <col min="8" max="8" width="7.625" style="18" hidden="1" customWidth="1"/>
    <col min="9" max="9" width="7" style="18" customWidth="1"/>
    <col min="10" max="10" width="13.125" style="18" customWidth="1"/>
    <col min="11" max="11" width="12.5" style="18" customWidth="1"/>
    <col min="12" max="12" width="7.375" style="17" customWidth="1"/>
    <col min="13" max="17" width="14.125" style="19" customWidth="1"/>
    <col min="18" max="18" width="19.75" style="18" customWidth="1"/>
    <col min="20" max="20" width="12.375" customWidth="1"/>
    <col min="21" max="21" width="20.625" customWidth="1"/>
    <col min="26" max="26" width="8.375" customWidth="1"/>
  </cols>
  <sheetData>
    <row r="1" spans="1:24" x14ac:dyDescent="0.3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63"/>
      <c r="O1" s="63"/>
      <c r="P1" s="63"/>
      <c r="Q1" s="63"/>
    </row>
    <row r="2" spans="1:24" x14ac:dyDescent="0.3">
      <c r="A2" s="89" t="s">
        <v>36</v>
      </c>
      <c r="B2" s="89"/>
      <c r="C2" s="89"/>
      <c r="D2" s="90"/>
      <c r="E2" s="84" t="s">
        <v>2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</row>
    <row r="3" spans="1:24" ht="24" customHeight="1" x14ac:dyDescent="0.3">
      <c r="A3" s="81" t="s">
        <v>112</v>
      </c>
      <c r="B3" s="81" t="s">
        <v>0</v>
      </c>
      <c r="C3" s="81" t="s">
        <v>65</v>
      </c>
      <c r="D3" s="81" t="s">
        <v>66</v>
      </c>
      <c r="E3" s="87" t="s">
        <v>24</v>
      </c>
      <c r="F3" s="73" t="s">
        <v>0</v>
      </c>
      <c r="G3" s="73" t="s">
        <v>20</v>
      </c>
      <c r="H3" s="27" t="s">
        <v>31</v>
      </c>
      <c r="I3" s="73" t="s">
        <v>32</v>
      </c>
      <c r="J3" s="71" t="s">
        <v>30</v>
      </c>
      <c r="K3" s="72"/>
      <c r="L3" s="75" t="s">
        <v>33</v>
      </c>
      <c r="M3" s="77" t="s">
        <v>34</v>
      </c>
      <c r="N3" s="61"/>
      <c r="O3" s="61"/>
      <c r="P3" s="61"/>
      <c r="Q3" s="61"/>
      <c r="R3" s="79" t="s">
        <v>21</v>
      </c>
      <c r="T3" s="60"/>
    </row>
    <row r="4" spans="1:24" ht="27" customHeight="1" x14ac:dyDescent="0.3">
      <c r="A4" s="82"/>
      <c r="B4" s="82"/>
      <c r="C4" s="82"/>
      <c r="D4" s="82"/>
      <c r="E4" s="88"/>
      <c r="F4" s="74"/>
      <c r="G4" s="74"/>
      <c r="H4" s="27" t="s">
        <v>31</v>
      </c>
      <c r="I4" s="74"/>
      <c r="J4" s="27" t="s">
        <v>35</v>
      </c>
      <c r="K4" s="27" t="s">
        <v>25</v>
      </c>
      <c r="L4" s="76"/>
      <c r="M4" s="78"/>
      <c r="N4" s="62"/>
      <c r="O4" s="62" t="s">
        <v>133</v>
      </c>
      <c r="P4" s="62"/>
      <c r="Q4" s="62"/>
      <c r="R4" s="80"/>
      <c r="T4" s="8"/>
    </row>
    <row r="5" spans="1:24" x14ac:dyDescent="0.3">
      <c r="A5" s="20">
        <v>0.1</v>
      </c>
      <c r="B5" s="20">
        <v>1.5</v>
      </c>
      <c r="C5" s="66"/>
      <c r="D5" s="66"/>
      <c r="E5" s="31">
        <v>0</v>
      </c>
      <c r="F5" s="24" t="str">
        <f t="shared" ref="F5:F68" si="0">IF(G5="","",B5)</f>
        <v/>
      </c>
      <c r="G5" s="24" t="str">
        <f>IF(SUM($H4:H$5)&lt;1,C5,"")</f>
        <v/>
      </c>
      <c r="H5" s="24">
        <f t="shared" ref="H5:H68" si="1">IF(MAX($C$5:$C$105)=C5,1,"")</f>
        <v>1</v>
      </c>
      <c r="I5" s="24">
        <f t="shared" ref="I5:I68" si="2">C5^2-$C$5^2</f>
        <v>0</v>
      </c>
      <c r="J5" s="24" t="e">
        <f>IF(AND($V$40&gt;F5,NOT(G5="")),F5,"")</f>
        <v>#N/A</v>
      </c>
      <c r="K5" s="24" t="e">
        <f>IF(AND($V$40&gt;F5,NOT(G5="")),I5,"")</f>
        <v>#N/A</v>
      </c>
      <c r="L5" s="25" t="str">
        <f>IF(G5="","",G5*$V$6*(100/$V$5))</f>
        <v/>
      </c>
      <c r="M5" s="26">
        <v>1</v>
      </c>
      <c r="N5" s="26">
        <v>1</v>
      </c>
      <c r="O5" s="26">
        <f>LOG10(M5)*20</f>
        <v>0</v>
      </c>
      <c r="P5" s="26">
        <v>0</v>
      </c>
      <c r="Q5" s="26">
        <f>LOG10(M5)*20</f>
        <v>0</v>
      </c>
      <c r="R5" s="24" t="str">
        <f t="shared" ref="R5:R68" si="3">IF(F5="","",(F5-(E5*$V$71+$V$72))*100/(MAX($F$5:$F$105)*0.9))</f>
        <v/>
      </c>
      <c r="U5" s="12" t="s">
        <v>28</v>
      </c>
      <c r="V5" s="35">
        <v>88.4</v>
      </c>
    </row>
    <row r="6" spans="1:24" x14ac:dyDescent="0.3">
      <c r="A6" s="20">
        <v>0.2</v>
      </c>
      <c r="B6" s="20">
        <v>1.8</v>
      </c>
      <c r="C6" s="66"/>
      <c r="D6" s="66"/>
      <c r="E6" s="31" t="str">
        <f>IF(F6="","",E5+1)</f>
        <v/>
      </c>
      <c r="F6" s="24" t="str">
        <f t="shared" si="0"/>
        <v/>
      </c>
      <c r="G6" s="24" t="str">
        <f>IF(SUM($H5:H$5)&lt;1,C6,"")</f>
        <v/>
      </c>
      <c r="H6" s="24">
        <f t="shared" si="1"/>
        <v>1</v>
      </c>
      <c r="I6" s="24">
        <f t="shared" si="2"/>
        <v>0</v>
      </c>
      <c r="J6" s="24" t="e">
        <f t="shared" ref="J6:J69" si="4">IF(AND($V$40&gt;F6,NOT(G6="")),F6,"")</f>
        <v>#N/A</v>
      </c>
      <c r="K6" s="24" t="e">
        <f t="shared" ref="K6:K69" si="5">IF(AND($V$40&gt;F6,NOT(G6="")),I6,"")</f>
        <v>#N/A</v>
      </c>
      <c r="L6" s="25" t="str">
        <f t="shared" ref="L6:L69" si="6">IF(G6="",L5,F6*$V$6*(100/$V$5))</f>
        <v/>
      </c>
      <c r="M6" s="26">
        <f t="shared" ref="M6:M69" si="7">IF(G6="",M5,(F6-$F$5)/G6)</f>
        <v>1</v>
      </c>
      <c r="N6" s="26">
        <f>IF(G6="",M5,(F6-$F$5)/D6)</f>
        <v>1</v>
      </c>
      <c r="O6" s="26">
        <f t="shared" ref="O6:P23" si="8">LOG10(M6)*20</f>
        <v>0</v>
      </c>
      <c r="P6" s="26">
        <f>LOG10(N6)*20</f>
        <v>0</v>
      </c>
      <c r="Q6" s="26"/>
      <c r="R6" s="24" t="str">
        <f t="shared" si="3"/>
        <v/>
      </c>
      <c r="U6" s="12" t="s">
        <v>29</v>
      </c>
      <c r="V6" s="34" t="e">
        <f>1/((MATCH(MAX(K5:K105),K5:K105)*SUMPRODUCT(J5:J105,K5:K105)-SUM(J5:J105)*SUM(K5:K105))/(MATCH(MAX(K5:K105),K5:K105)*SUMSQ(J5:J105) - SUM(J5:J105)^2))</f>
        <v>#N/A</v>
      </c>
      <c r="X6" s="58"/>
    </row>
    <row r="7" spans="1:24" x14ac:dyDescent="0.3">
      <c r="A7" s="20">
        <v>0.3</v>
      </c>
      <c r="B7" s="20">
        <v>2.1</v>
      </c>
      <c r="C7" s="66"/>
      <c r="D7" s="66"/>
      <c r="E7" s="31" t="str">
        <f t="shared" ref="E7:E70" si="9">IF(F7="","",E6+1)</f>
        <v/>
      </c>
      <c r="F7" s="24" t="str">
        <f t="shared" si="0"/>
        <v/>
      </c>
      <c r="G7" s="24" t="str">
        <f>IF(SUM($H$5:H6)&lt;1,C7,"")</f>
        <v/>
      </c>
      <c r="H7" s="24">
        <f t="shared" si="1"/>
        <v>1</v>
      </c>
      <c r="I7" s="24">
        <f t="shared" si="2"/>
        <v>0</v>
      </c>
      <c r="J7" s="24" t="e">
        <f t="shared" si="4"/>
        <v>#N/A</v>
      </c>
      <c r="K7" s="24" t="e">
        <f t="shared" si="5"/>
        <v>#N/A</v>
      </c>
      <c r="L7" s="25" t="str">
        <f t="shared" si="6"/>
        <v/>
      </c>
      <c r="M7" s="26">
        <f t="shared" si="7"/>
        <v>1</v>
      </c>
      <c r="N7" s="26">
        <f t="shared" ref="N7:N23" si="10">IF(G7="",M6,(F7-$F$5)/D7)</f>
        <v>1</v>
      </c>
      <c r="O7" s="26">
        <f t="shared" si="8"/>
        <v>0</v>
      </c>
      <c r="P7" s="26">
        <f t="shared" si="8"/>
        <v>0</v>
      </c>
      <c r="Q7" s="26"/>
      <c r="R7" s="24" t="str">
        <f t="shared" si="3"/>
        <v/>
      </c>
    </row>
    <row r="8" spans="1:24" x14ac:dyDescent="0.3">
      <c r="A8" s="20">
        <v>0.4</v>
      </c>
      <c r="B8" s="20">
        <v>2.4</v>
      </c>
      <c r="C8" s="66"/>
      <c r="D8" s="66"/>
      <c r="E8" s="31" t="str">
        <f t="shared" si="9"/>
        <v/>
      </c>
      <c r="F8" s="24" t="str">
        <f t="shared" si="0"/>
        <v/>
      </c>
      <c r="G8" s="24" t="str">
        <f>IF(SUM($H$5:H7)&lt;1,C8,"")</f>
        <v/>
      </c>
      <c r="H8" s="24">
        <f t="shared" si="1"/>
        <v>1</v>
      </c>
      <c r="I8" s="24">
        <f t="shared" si="2"/>
        <v>0</v>
      </c>
      <c r="J8" s="24" t="e">
        <f t="shared" si="4"/>
        <v>#N/A</v>
      </c>
      <c r="K8" s="24" t="e">
        <f t="shared" si="5"/>
        <v>#N/A</v>
      </c>
      <c r="L8" s="25" t="str">
        <f t="shared" si="6"/>
        <v/>
      </c>
      <c r="M8" s="26">
        <f t="shared" si="7"/>
        <v>1</v>
      </c>
      <c r="N8" s="26">
        <f t="shared" si="10"/>
        <v>1</v>
      </c>
      <c r="O8" s="26">
        <f t="shared" si="8"/>
        <v>0</v>
      </c>
      <c r="P8" s="26">
        <f t="shared" si="8"/>
        <v>0</v>
      </c>
      <c r="Q8" s="26"/>
      <c r="R8" s="24" t="str">
        <f t="shared" si="3"/>
        <v/>
      </c>
    </row>
    <row r="9" spans="1:24" x14ac:dyDescent="0.3">
      <c r="A9" s="20">
        <v>0.5</v>
      </c>
      <c r="B9" s="20">
        <v>2.7</v>
      </c>
      <c r="C9" s="66"/>
      <c r="D9" s="66"/>
      <c r="E9" s="31" t="str">
        <f t="shared" si="9"/>
        <v/>
      </c>
      <c r="F9" s="24" t="str">
        <f t="shared" si="0"/>
        <v/>
      </c>
      <c r="G9" s="24" t="str">
        <f>IF(SUM($H$5:H8)&lt;1,C9,"")</f>
        <v/>
      </c>
      <c r="H9" s="24">
        <f t="shared" si="1"/>
        <v>1</v>
      </c>
      <c r="I9" s="24">
        <f t="shared" si="2"/>
        <v>0</v>
      </c>
      <c r="J9" s="24" t="e">
        <f t="shared" si="4"/>
        <v>#N/A</v>
      </c>
      <c r="K9" s="24" t="e">
        <f t="shared" si="5"/>
        <v>#N/A</v>
      </c>
      <c r="L9" s="25" t="str">
        <f t="shared" si="6"/>
        <v/>
      </c>
      <c r="M9" s="26">
        <f t="shared" si="7"/>
        <v>1</v>
      </c>
      <c r="N9" s="26">
        <f t="shared" si="10"/>
        <v>1</v>
      </c>
      <c r="O9" s="26">
        <f t="shared" si="8"/>
        <v>0</v>
      </c>
      <c r="P9" s="26">
        <f t="shared" si="8"/>
        <v>0</v>
      </c>
      <c r="Q9" s="26"/>
      <c r="R9" s="24" t="str">
        <f t="shared" si="3"/>
        <v/>
      </c>
    </row>
    <row r="10" spans="1:24" x14ac:dyDescent="0.3">
      <c r="A10" s="20">
        <v>0.6</v>
      </c>
      <c r="B10" s="20">
        <v>3</v>
      </c>
      <c r="C10" s="66"/>
      <c r="D10" s="66"/>
      <c r="E10" s="31" t="str">
        <f t="shared" si="9"/>
        <v/>
      </c>
      <c r="F10" s="24" t="str">
        <f t="shared" si="0"/>
        <v/>
      </c>
      <c r="G10" s="24" t="str">
        <f>IF(SUM($H$5:H9)&lt;1,C10,"")</f>
        <v/>
      </c>
      <c r="H10" s="24">
        <f t="shared" si="1"/>
        <v>1</v>
      </c>
      <c r="I10" s="24">
        <f t="shared" si="2"/>
        <v>0</v>
      </c>
      <c r="J10" s="24" t="e">
        <f t="shared" si="4"/>
        <v>#N/A</v>
      </c>
      <c r="K10" s="24" t="e">
        <f t="shared" si="5"/>
        <v>#N/A</v>
      </c>
      <c r="L10" s="25" t="str">
        <f t="shared" si="6"/>
        <v/>
      </c>
      <c r="M10" s="26">
        <f t="shared" si="7"/>
        <v>1</v>
      </c>
      <c r="N10" s="26">
        <f t="shared" si="10"/>
        <v>1</v>
      </c>
      <c r="O10" s="26">
        <f t="shared" si="8"/>
        <v>0</v>
      </c>
      <c r="P10" s="26">
        <f t="shared" si="8"/>
        <v>0</v>
      </c>
      <c r="Q10" s="26"/>
      <c r="R10" s="24" t="str">
        <f t="shared" si="3"/>
        <v/>
      </c>
      <c r="U10" s="12" t="s">
        <v>101</v>
      </c>
      <c r="V10" s="34" t="e">
        <f>SQRT(V13)*V6</f>
        <v>#N/A</v>
      </c>
      <c r="W10" t="s">
        <v>44</v>
      </c>
    </row>
    <row r="11" spans="1:24" x14ac:dyDescent="0.3">
      <c r="A11" s="20">
        <v>0.7</v>
      </c>
      <c r="B11" s="20">
        <v>3.3</v>
      </c>
      <c r="C11" s="66"/>
      <c r="D11" s="66"/>
      <c r="E11" s="31" t="str">
        <f t="shared" si="9"/>
        <v/>
      </c>
      <c r="F11" s="24" t="str">
        <f t="shared" si="0"/>
        <v/>
      </c>
      <c r="G11" s="24" t="str">
        <f>IF(SUM($H$5:H10)&lt;1,C11,"")</f>
        <v/>
      </c>
      <c r="H11" s="24">
        <f t="shared" si="1"/>
        <v>1</v>
      </c>
      <c r="I11" s="24">
        <f t="shared" si="2"/>
        <v>0</v>
      </c>
      <c r="J11" s="24" t="e">
        <f t="shared" si="4"/>
        <v>#N/A</v>
      </c>
      <c r="K11" s="24" t="e">
        <f t="shared" si="5"/>
        <v>#N/A</v>
      </c>
      <c r="L11" s="25" t="str">
        <f t="shared" si="6"/>
        <v/>
      </c>
      <c r="M11" s="26">
        <f t="shared" si="7"/>
        <v>1</v>
      </c>
      <c r="N11" s="26">
        <f t="shared" si="10"/>
        <v>1</v>
      </c>
      <c r="O11" s="26">
        <f t="shared" si="8"/>
        <v>0</v>
      </c>
      <c r="P11" s="26">
        <f t="shared" si="8"/>
        <v>0</v>
      </c>
      <c r="Q11" s="26"/>
      <c r="R11" s="24" t="str">
        <f t="shared" si="3"/>
        <v/>
      </c>
      <c r="U11" s="12" t="s">
        <v>104</v>
      </c>
      <c r="V11" s="34" t="e">
        <f>SQRT(V14-V13)*100/(V15-V16)</f>
        <v>#N/A</v>
      </c>
      <c r="W11" t="s">
        <v>40</v>
      </c>
    </row>
    <row r="12" spans="1:24" x14ac:dyDescent="0.3">
      <c r="A12" s="20">
        <v>0.8</v>
      </c>
      <c r="B12" s="20">
        <v>3.6</v>
      </c>
      <c r="C12" s="66"/>
      <c r="D12" s="66"/>
      <c r="E12" s="31" t="str">
        <f t="shared" si="9"/>
        <v/>
      </c>
      <c r="F12" s="24" t="str">
        <f t="shared" si="0"/>
        <v/>
      </c>
      <c r="G12" s="24" t="str">
        <f>IF(SUM($H$5:H11)&lt;1,C12,"")</f>
        <v/>
      </c>
      <c r="H12" s="24">
        <f t="shared" si="1"/>
        <v>1</v>
      </c>
      <c r="I12" s="24">
        <f t="shared" si="2"/>
        <v>0</v>
      </c>
      <c r="J12" s="24" t="e">
        <f t="shared" si="4"/>
        <v>#N/A</v>
      </c>
      <c r="K12" s="24" t="e">
        <f t="shared" si="5"/>
        <v>#N/A</v>
      </c>
      <c r="L12" s="25" t="str">
        <f t="shared" si="6"/>
        <v/>
      </c>
      <c r="M12" s="26">
        <f t="shared" si="7"/>
        <v>1</v>
      </c>
      <c r="N12" s="26">
        <f t="shared" si="10"/>
        <v>1</v>
      </c>
      <c r="O12" s="26">
        <f t="shared" si="8"/>
        <v>0</v>
      </c>
      <c r="P12" s="26">
        <f t="shared" si="8"/>
        <v>0</v>
      </c>
      <c r="Q12" s="26"/>
      <c r="R12" s="24" t="str">
        <f t="shared" si="3"/>
        <v/>
      </c>
    </row>
    <row r="13" spans="1:24" x14ac:dyDescent="0.3">
      <c r="A13" s="20">
        <v>0.9</v>
      </c>
      <c r="B13" s="20">
        <v>3.9</v>
      </c>
      <c r="C13" s="66"/>
      <c r="D13" s="66"/>
      <c r="E13" s="31" t="str">
        <f t="shared" si="9"/>
        <v/>
      </c>
      <c r="F13" s="24" t="str">
        <f t="shared" si="0"/>
        <v/>
      </c>
      <c r="G13" s="24" t="str">
        <f>IF(SUM($H$5:H12)&lt;1,C13,"")</f>
        <v/>
      </c>
      <c r="H13" s="24">
        <f t="shared" si="1"/>
        <v>1</v>
      </c>
      <c r="I13" s="24">
        <f t="shared" si="2"/>
        <v>0</v>
      </c>
      <c r="J13" s="24" t="e">
        <f t="shared" si="4"/>
        <v>#N/A</v>
      </c>
      <c r="K13" s="24" t="e">
        <f t="shared" si="5"/>
        <v>#N/A</v>
      </c>
      <c r="L13" s="25" t="str">
        <f t="shared" si="6"/>
        <v/>
      </c>
      <c r="M13" s="26">
        <f t="shared" si="7"/>
        <v>1</v>
      </c>
      <c r="N13" s="26">
        <f t="shared" si="10"/>
        <v>1</v>
      </c>
      <c r="O13" s="26">
        <f t="shared" si="8"/>
        <v>0</v>
      </c>
      <c r="P13" s="26">
        <f t="shared" si="8"/>
        <v>0</v>
      </c>
      <c r="Q13" s="26"/>
      <c r="R13" s="24" t="str">
        <f t="shared" si="3"/>
        <v/>
      </c>
      <c r="U13" s="12" t="s">
        <v>115</v>
      </c>
      <c r="V13" s="34">
        <f>D5^2-C5^2</f>
        <v>0</v>
      </c>
    </row>
    <row r="14" spans="1:24" x14ac:dyDescent="0.3">
      <c r="A14" s="20">
        <v>1</v>
      </c>
      <c r="B14" s="20">
        <v>4.2</v>
      </c>
      <c r="C14" s="66"/>
      <c r="D14" s="66"/>
      <c r="E14" s="31" t="str">
        <f t="shared" si="9"/>
        <v/>
      </c>
      <c r="F14" s="24" t="str">
        <f t="shared" si="0"/>
        <v/>
      </c>
      <c r="G14" s="24" t="str">
        <f>IF(SUM($H$5:H13)&lt;1,C14,"")</f>
        <v/>
      </c>
      <c r="H14" s="24">
        <f t="shared" si="1"/>
        <v>1</v>
      </c>
      <c r="I14" s="24">
        <f t="shared" si="2"/>
        <v>0</v>
      </c>
      <c r="J14" s="24" t="e">
        <f t="shared" si="4"/>
        <v>#N/A</v>
      </c>
      <c r="K14" s="24" t="e">
        <f t="shared" si="5"/>
        <v>#N/A</v>
      </c>
      <c r="L14" s="25" t="str">
        <f t="shared" si="6"/>
        <v/>
      </c>
      <c r="M14" s="26">
        <f t="shared" si="7"/>
        <v>1</v>
      </c>
      <c r="N14" s="26">
        <f t="shared" si="10"/>
        <v>1</v>
      </c>
      <c r="O14" s="26">
        <f t="shared" si="8"/>
        <v>0</v>
      </c>
      <c r="P14" s="26">
        <f t="shared" si="8"/>
        <v>0</v>
      </c>
      <c r="Q14" s="26"/>
      <c r="R14" s="24" t="str">
        <f t="shared" si="3"/>
        <v/>
      </c>
      <c r="U14" s="12" t="s">
        <v>116</v>
      </c>
      <c r="V14" s="34" t="e">
        <f>INDEX(D5:D105,(MATCH(MAX(F5:F105),F5:F105,0))*0.5,0)^2-INDEX(C5:C105,(MATCH(MAX(F5:F105),F5:F105,0))*0.5,0)^2</f>
        <v>#N/A</v>
      </c>
    </row>
    <row r="15" spans="1:24" x14ac:dyDescent="0.3">
      <c r="A15" s="20"/>
      <c r="B15" s="66"/>
      <c r="C15" s="66"/>
      <c r="D15" s="66"/>
      <c r="E15" s="31" t="str">
        <f t="shared" si="9"/>
        <v/>
      </c>
      <c r="F15" s="24" t="str">
        <f t="shared" si="0"/>
        <v/>
      </c>
      <c r="G15" s="24" t="str">
        <f>IF(SUM($H$5:H14)&lt;1,C15,"")</f>
        <v/>
      </c>
      <c r="H15" s="24">
        <f t="shared" si="1"/>
        <v>1</v>
      </c>
      <c r="I15" s="24">
        <f t="shared" si="2"/>
        <v>0</v>
      </c>
      <c r="J15" s="24" t="e">
        <f t="shared" si="4"/>
        <v>#N/A</v>
      </c>
      <c r="K15" s="24" t="e">
        <f t="shared" si="5"/>
        <v>#N/A</v>
      </c>
      <c r="L15" s="25" t="str">
        <f t="shared" si="6"/>
        <v/>
      </c>
      <c r="M15" s="26">
        <f t="shared" si="7"/>
        <v>1</v>
      </c>
      <c r="N15" s="26">
        <f t="shared" si="10"/>
        <v>1</v>
      </c>
      <c r="O15" s="26">
        <f t="shared" si="8"/>
        <v>0</v>
      </c>
      <c r="P15" s="26">
        <f t="shared" si="8"/>
        <v>0</v>
      </c>
      <c r="Q15" s="26"/>
      <c r="R15" s="24" t="str">
        <f t="shared" si="3"/>
        <v/>
      </c>
      <c r="U15" s="12" t="s">
        <v>117</v>
      </c>
      <c r="V15" s="34" t="e">
        <f>INDEX(B5:B105,(MATCH(MAX(F5:F105),F5:F105,0))*0.5,0)</f>
        <v>#N/A</v>
      </c>
    </row>
    <row r="16" spans="1:24" x14ac:dyDescent="0.3">
      <c r="A16" s="20"/>
      <c r="B16" s="66"/>
      <c r="C16" s="66"/>
      <c r="D16" s="66"/>
      <c r="E16" s="31" t="str">
        <f t="shared" si="9"/>
        <v/>
      </c>
      <c r="F16" s="24" t="str">
        <f t="shared" si="0"/>
        <v/>
      </c>
      <c r="G16" s="24" t="str">
        <f>IF(SUM($H$5:H15)&lt;1,C16,"")</f>
        <v/>
      </c>
      <c r="H16" s="24">
        <f t="shared" si="1"/>
        <v>1</v>
      </c>
      <c r="I16" s="24">
        <f t="shared" si="2"/>
        <v>0</v>
      </c>
      <c r="J16" s="24" t="e">
        <f t="shared" si="4"/>
        <v>#N/A</v>
      </c>
      <c r="K16" s="24" t="e">
        <f t="shared" si="5"/>
        <v>#N/A</v>
      </c>
      <c r="L16" s="25" t="str">
        <f t="shared" si="6"/>
        <v/>
      </c>
      <c r="M16" s="26">
        <f t="shared" si="7"/>
        <v>1</v>
      </c>
      <c r="N16" s="26">
        <f t="shared" si="10"/>
        <v>1</v>
      </c>
      <c r="O16" s="26">
        <f t="shared" si="8"/>
        <v>0</v>
      </c>
      <c r="P16" s="26">
        <f t="shared" si="8"/>
        <v>0</v>
      </c>
      <c r="Q16" s="26"/>
      <c r="R16" s="24" t="str">
        <f t="shared" si="3"/>
        <v/>
      </c>
      <c r="U16" s="12" t="s">
        <v>118</v>
      </c>
      <c r="V16" s="34">
        <f>B5</f>
        <v>1.5</v>
      </c>
    </row>
    <row r="17" spans="1:23" x14ac:dyDescent="0.3">
      <c r="A17" s="20"/>
      <c r="B17" s="66"/>
      <c r="C17" s="66"/>
      <c r="D17" s="66"/>
      <c r="E17" s="31" t="str">
        <f t="shared" si="9"/>
        <v/>
      </c>
      <c r="F17" s="24" t="str">
        <f t="shared" si="0"/>
        <v/>
      </c>
      <c r="G17" s="24" t="str">
        <f>IF(SUM($H$5:H16)&lt;1,C17,"")</f>
        <v/>
      </c>
      <c r="H17" s="24">
        <f t="shared" si="1"/>
        <v>1</v>
      </c>
      <c r="I17" s="24">
        <f t="shared" si="2"/>
        <v>0</v>
      </c>
      <c r="J17" s="24" t="e">
        <f t="shared" si="4"/>
        <v>#N/A</v>
      </c>
      <c r="K17" s="24" t="e">
        <f t="shared" si="5"/>
        <v>#N/A</v>
      </c>
      <c r="L17" s="25" t="str">
        <f t="shared" si="6"/>
        <v/>
      </c>
      <c r="M17" s="26">
        <f t="shared" si="7"/>
        <v>1</v>
      </c>
      <c r="N17" s="26">
        <f t="shared" si="10"/>
        <v>1</v>
      </c>
      <c r="O17" s="26">
        <f t="shared" si="8"/>
        <v>0</v>
      </c>
      <c r="P17" s="26">
        <f t="shared" si="8"/>
        <v>0</v>
      </c>
      <c r="Q17" s="26"/>
      <c r="R17" s="24" t="str">
        <f t="shared" si="3"/>
        <v/>
      </c>
      <c r="U17" s="64" t="s">
        <v>146</v>
      </c>
      <c r="V17" s="34">
        <f>((MATCH(MAX(B5:B105),B5:B105)*SUMPRODUCT(A5:A105,B5:B105)-SUM(A5:A105)*SUM(B5:B105))/(MATCH(MAX(B5:B105),B5:B105)*SUMSQ(A5:A105) - SUM(A5:A105)^2))</f>
        <v>3</v>
      </c>
    </row>
    <row r="18" spans="1:23" x14ac:dyDescent="0.3">
      <c r="A18" s="20"/>
      <c r="B18" s="66"/>
      <c r="C18" s="66"/>
      <c r="D18" s="66"/>
      <c r="E18" s="31" t="str">
        <f t="shared" si="9"/>
        <v/>
      </c>
      <c r="F18" s="24" t="str">
        <f t="shared" si="0"/>
        <v/>
      </c>
      <c r="G18" s="24" t="str">
        <f>IF(SUM($H$5:H17)&lt;1,C18,"")</f>
        <v/>
      </c>
      <c r="H18" s="24">
        <f t="shared" si="1"/>
        <v>1</v>
      </c>
      <c r="I18" s="24">
        <f t="shared" si="2"/>
        <v>0</v>
      </c>
      <c r="J18" s="24" t="e">
        <f t="shared" si="4"/>
        <v>#N/A</v>
      </c>
      <c r="K18" s="24" t="e">
        <f t="shared" si="5"/>
        <v>#N/A</v>
      </c>
      <c r="L18" s="25" t="str">
        <f t="shared" si="6"/>
        <v/>
      </c>
      <c r="M18" s="26">
        <f t="shared" si="7"/>
        <v>1</v>
      </c>
      <c r="N18" s="26">
        <f t="shared" si="10"/>
        <v>1</v>
      </c>
      <c r="O18" s="26">
        <f t="shared" si="8"/>
        <v>0</v>
      </c>
      <c r="P18" s="26">
        <f t="shared" si="8"/>
        <v>0</v>
      </c>
      <c r="Q18" s="26"/>
      <c r="R18" s="24" t="str">
        <f t="shared" si="3"/>
        <v/>
      </c>
      <c r="U18" s="64" t="s">
        <v>147</v>
      </c>
      <c r="V18" s="65" t="e">
        <f>V17*'Linearity Data'!V6</f>
        <v>#N/A</v>
      </c>
      <c r="W18" t="s">
        <v>148</v>
      </c>
    </row>
    <row r="19" spans="1:23" x14ac:dyDescent="0.3">
      <c r="A19" s="20"/>
      <c r="B19" s="66"/>
      <c r="C19" s="66"/>
      <c r="D19" s="66"/>
      <c r="E19" s="31" t="str">
        <f t="shared" si="9"/>
        <v/>
      </c>
      <c r="F19" s="24" t="str">
        <f t="shared" si="0"/>
        <v/>
      </c>
      <c r="G19" s="24" t="str">
        <f>IF(SUM($H$5:H18)&lt;1,C19,"")</f>
        <v/>
      </c>
      <c r="H19" s="24">
        <f t="shared" si="1"/>
        <v>1</v>
      </c>
      <c r="I19" s="24">
        <f t="shared" si="2"/>
        <v>0</v>
      </c>
      <c r="J19" s="24" t="e">
        <f t="shared" si="4"/>
        <v>#N/A</v>
      </c>
      <c r="K19" s="24" t="e">
        <f t="shared" si="5"/>
        <v>#N/A</v>
      </c>
      <c r="L19" s="25" t="str">
        <f t="shared" si="6"/>
        <v/>
      </c>
      <c r="M19" s="26">
        <f t="shared" si="7"/>
        <v>1</v>
      </c>
      <c r="N19" s="26">
        <f t="shared" si="10"/>
        <v>1</v>
      </c>
      <c r="O19" s="26">
        <f t="shared" si="8"/>
        <v>0</v>
      </c>
      <c r="P19" s="26">
        <f t="shared" si="8"/>
        <v>0</v>
      </c>
      <c r="Q19" s="26"/>
      <c r="R19" s="24" t="str">
        <f t="shared" si="3"/>
        <v/>
      </c>
    </row>
    <row r="20" spans="1:23" x14ac:dyDescent="0.3">
      <c r="A20" s="20"/>
      <c r="B20" s="66"/>
      <c r="C20" s="66"/>
      <c r="D20" s="66"/>
      <c r="E20" s="31" t="str">
        <f t="shared" si="9"/>
        <v/>
      </c>
      <c r="F20" s="24" t="str">
        <f t="shared" si="0"/>
        <v/>
      </c>
      <c r="G20" s="24" t="str">
        <f>IF(SUM($H$5:H19)&lt;1,C20,"")</f>
        <v/>
      </c>
      <c r="H20" s="24">
        <f t="shared" si="1"/>
        <v>1</v>
      </c>
      <c r="I20" s="24">
        <f t="shared" si="2"/>
        <v>0</v>
      </c>
      <c r="J20" s="24" t="e">
        <f t="shared" si="4"/>
        <v>#N/A</v>
      </c>
      <c r="K20" s="24" t="e">
        <f t="shared" si="5"/>
        <v>#N/A</v>
      </c>
      <c r="L20" s="25" t="str">
        <f t="shared" si="6"/>
        <v/>
      </c>
      <c r="M20" s="26">
        <f t="shared" si="7"/>
        <v>1</v>
      </c>
      <c r="N20" s="26">
        <f t="shared" si="10"/>
        <v>1</v>
      </c>
      <c r="O20" s="26">
        <f t="shared" si="8"/>
        <v>0</v>
      </c>
      <c r="P20" s="26">
        <f t="shared" si="8"/>
        <v>0</v>
      </c>
      <c r="Q20" s="26"/>
      <c r="R20" s="24" t="str">
        <f t="shared" si="3"/>
        <v/>
      </c>
    </row>
    <row r="21" spans="1:23" x14ac:dyDescent="0.3">
      <c r="A21" s="20"/>
      <c r="B21" s="66"/>
      <c r="C21" s="66"/>
      <c r="D21" s="66"/>
      <c r="E21" s="31" t="str">
        <f t="shared" si="9"/>
        <v/>
      </c>
      <c r="F21" s="24" t="str">
        <f t="shared" si="0"/>
        <v/>
      </c>
      <c r="G21" s="24" t="str">
        <f>IF(SUM($H$5:H20)&lt;1,C21,"")</f>
        <v/>
      </c>
      <c r="H21" s="24">
        <f t="shared" si="1"/>
        <v>1</v>
      </c>
      <c r="I21" s="24">
        <f t="shared" si="2"/>
        <v>0</v>
      </c>
      <c r="J21" s="24" t="e">
        <f t="shared" si="4"/>
        <v>#N/A</v>
      </c>
      <c r="K21" s="24" t="e">
        <f t="shared" si="5"/>
        <v>#N/A</v>
      </c>
      <c r="L21" s="25" t="str">
        <f t="shared" si="6"/>
        <v/>
      </c>
      <c r="M21" s="26">
        <f t="shared" si="7"/>
        <v>1</v>
      </c>
      <c r="N21" s="26">
        <f t="shared" si="10"/>
        <v>1</v>
      </c>
      <c r="O21" s="26">
        <f t="shared" si="8"/>
        <v>0</v>
      </c>
      <c r="P21" s="26">
        <f t="shared" si="8"/>
        <v>0</v>
      </c>
      <c r="Q21" s="26"/>
      <c r="R21" s="24" t="str">
        <f t="shared" si="3"/>
        <v/>
      </c>
    </row>
    <row r="22" spans="1:23" x14ac:dyDescent="0.3">
      <c r="A22" s="20"/>
      <c r="B22" s="66"/>
      <c r="C22" s="66"/>
      <c r="D22" s="66"/>
      <c r="E22" s="31" t="str">
        <f t="shared" si="9"/>
        <v/>
      </c>
      <c r="F22" s="24" t="str">
        <f t="shared" si="0"/>
        <v/>
      </c>
      <c r="G22" s="24" t="str">
        <f>IF(SUM($H$5:H21)&lt;1,C22,"")</f>
        <v/>
      </c>
      <c r="H22" s="24">
        <f t="shared" si="1"/>
        <v>1</v>
      </c>
      <c r="I22" s="24">
        <f t="shared" si="2"/>
        <v>0</v>
      </c>
      <c r="J22" s="24" t="e">
        <f t="shared" si="4"/>
        <v>#N/A</v>
      </c>
      <c r="K22" s="24" t="e">
        <f t="shared" si="5"/>
        <v>#N/A</v>
      </c>
      <c r="L22" s="25" t="str">
        <f t="shared" si="6"/>
        <v/>
      </c>
      <c r="M22" s="26">
        <f t="shared" si="7"/>
        <v>1</v>
      </c>
      <c r="N22" s="26">
        <f t="shared" si="10"/>
        <v>1</v>
      </c>
      <c r="O22" s="26">
        <f t="shared" si="8"/>
        <v>0</v>
      </c>
      <c r="P22" s="26">
        <f t="shared" si="8"/>
        <v>0</v>
      </c>
      <c r="Q22" s="26"/>
      <c r="R22" s="24" t="str">
        <f t="shared" si="3"/>
        <v/>
      </c>
    </row>
    <row r="23" spans="1:23" x14ac:dyDescent="0.3">
      <c r="A23" s="20"/>
      <c r="B23" s="66"/>
      <c r="C23" s="66"/>
      <c r="D23" s="66"/>
      <c r="E23" s="31" t="str">
        <f t="shared" si="9"/>
        <v/>
      </c>
      <c r="F23" s="24" t="str">
        <f t="shared" si="0"/>
        <v/>
      </c>
      <c r="G23" s="24" t="str">
        <f>IF(SUM($H$5:H22)&lt;1,C23,"")</f>
        <v/>
      </c>
      <c r="H23" s="24">
        <f t="shared" si="1"/>
        <v>1</v>
      </c>
      <c r="I23" s="24">
        <f t="shared" si="2"/>
        <v>0</v>
      </c>
      <c r="J23" s="24" t="e">
        <f t="shared" si="4"/>
        <v>#N/A</v>
      </c>
      <c r="K23" s="24" t="e">
        <f t="shared" si="5"/>
        <v>#N/A</v>
      </c>
      <c r="L23" s="25" t="str">
        <f t="shared" si="6"/>
        <v/>
      </c>
      <c r="M23" s="26">
        <f t="shared" si="7"/>
        <v>1</v>
      </c>
      <c r="N23" s="26">
        <f t="shared" si="10"/>
        <v>1</v>
      </c>
      <c r="O23" s="26">
        <f t="shared" si="8"/>
        <v>0</v>
      </c>
      <c r="P23" s="26">
        <f t="shared" si="8"/>
        <v>0</v>
      </c>
      <c r="Q23" s="26"/>
      <c r="R23" s="24" t="str">
        <f t="shared" si="3"/>
        <v/>
      </c>
    </row>
    <row r="24" spans="1:23" x14ac:dyDescent="0.3">
      <c r="A24" s="20"/>
      <c r="B24" s="66"/>
      <c r="C24" s="66"/>
      <c r="D24" s="66"/>
      <c r="E24" s="31" t="str">
        <f t="shared" si="9"/>
        <v/>
      </c>
      <c r="F24" s="24" t="str">
        <f t="shared" si="0"/>
        <v/>
      </c>
      <c r="G24" s="24" t="str">
        <f>IF(SUM($H$5:H23)&lt;1,C24,"")</f>
        <v/>
      </c>
      <c r="H24" s="24">
        <f t="shared" si="1"/>
        <v>1</v>
      </c>
      <c r="I24" s="24">
        <f t="shared" si="2"/>
        <v>0</v>
      </c>
      <c r="J24" s="24" t="e">
        <f t="shared" si="4"/>
        <v>#N/A</v>
      </c>
      <c r="K24" s="24" t="e">
        <f t="shared" si="5"/>
        <v>#N/A</v>
      </c>
      <c r="L24" s="25" t="str">
        <f t="shared" si="6"/>
        <v/>
      </c>
      <c r="M24" s="26">
        <f t="shared" si="7"/>
        <v>1</v>
      </c>
      <c r="N24" s="26"/>
      <c r="O24" s="26"/>
      <c r="P24" s="26"/>
      <c r="Q24" s="26"/>
      <c r="R24" s="24" t="str">
        <f t="shared" si="3"/>
        <v/>
      </c>
      <c r="U24" s="14" t="s">
        <v>16</v>
      </c>
      <c r="V24" s="28" t="s">
        <v>13</v>
      </c>
      <c r="W24" s="28" t="s">
        <v>14</v>
      </c>
    </row>
    <row r="25" spans="1:23" x14ac:dyDescent="0.3">
      <c r="A25" s="20"/>
      <c r="B25" s="66"/>
      <c r="C25" s="66"/>
      <c r="D25" s="66"/>
      <c r="E25" s="31" t="str">
        <f t="shared" si="9"/>
        <v/>
      </c>
      <c r="F25" s="24" t="str">
        <f t="shared" si="0"/>
        <v/>
      </c>
      <c r="G25" s="24" t="str">
        <f>IF(SUM($H$5:H24)&lt;1,C25,"")</f>
        <v/>
      </c>
      <c r="H25" s="24">
        <f t="shared" si="1"/>
        <v>1</v>
      </c>
      <c r="I25" s="24">
        <f t="shared" si="2"/>
        <v>0</v>
      </c>
      <c r="J25" s="24" t="e">
        <f t="shared" si="4"/>
        <v>#N/A</v>
      </c>
      <c r="K25" s="24" t="e">
        <f t="shared" si="5"/>
        <v>#N/A</v>
      </c>
      <c r="L25" s="25" t="str">
        <f t="shared" si="6"/>
        <v/>
      </c>
      <c r="M25" s="26">
        <f t="shared" si="7"/>
        <v>1</v>
      </c>
      <c r="N25" s="26"/>
      <c r="O25" s="26"/>
      <c r="P25" s="26"/>
      <c r="Q25" s="26"/>
      <c r="R25" s="24" t="str">
        <f t="shared" si="3"/>
        <v/>
      </c>
      <c r="T25" s="70"/>
      <c r="U25" s="12" t="s">
        <v>15</v>
      </c>
      <c r="V25" s="29">
        <f>MIN(L4:L104)</f>
        <v>0</v>
      </c>
      <c r="W25" s="29">
        <f>MIN(M4:M104)</f>
        <v>1</v>
      </c>
    </row>
    <row r="26" spans="1:23" x14ac:dyDescent="0.3">
      <c r="A26" s="20"/>
      <c r="B26" s="66"/>
      <c r="C26" s="66"/>
      <c r="D26" s="66"/>
      <c r="E26" s="31" t="str">
        <f t="shared" si="9"/>
        <v/>
      </c>
      <c r="F26" s="24" t="str">
        <f t="shared" si="0"/>
        <v/>
      </c>
      <c r="G26" s="24" t="str">
        <f>IF(SUM($H$5:H25)&lt;1,C26,"")</f>
        <v/>
      </c>
      <c r="H26" s="24">
        <f t="shared" si="1"/>
        <v>1</v>
      </c>
      <c r="I26" s="24">
        <f t="shared" si="2"/>
        <v>0</v>
      </c>
      <c r="J26" s="24" t="e">
        <f t="shared" si="4"/>
        <v>#N/A</v>
      </c>
      <c r="K26" s="24" t="e">
        <f t="shared" si="5"/>
        <v>#N/A</v>
      </c>
      <c r="L26" s="25" t="str">
        <f t="shared" si="6"/>
        <v/>
      </c>
      <c r="M26" s="26">
        <f t="shared" si="7"/>
        <v>1</v>
      </c>
      <c r="N26" s="26"/>
      <c r="O26" s="26"/>
      <c r="P26" s="26"/>
      <c r="Q26" s="26"/>
      <c r="R26" s="24" t="str">
        <f t="shared" si="3"/>
        <v/>
      </c>
      <c r="T26" s="70"/>
      <c r="U26" s="12" t="s">
        <v>22</v>
      </c>
      <c r="V26" s="29">
        <f>MAX(L6:L105)</f>
        <v>0</v>
      </c>
      <c r="W26" s="29">
        <f>MAX(M6:M105)</f>
        <v>1</v>
      </c>
    </row>
    <row r="27" spans="1:23" x14ac:dyDescent="0.3">
      <c r="A27" s="20"/>
      <c r="B27" s="66"/>
      <c r="C27" s="66"/>
      <c r="D27" s="66"/>
      <c r="E27" s="31" t="str">
        <f t="shared" si="9"/>
        <v/>
      </c>
      <c r="F27" s="24" t="str">
        <f t="shared" si="0"/>
        <v/>
      </c>
      <c r="G27" s="24" t="str">
        <f>IF(SUM($H$5:H26)&lt;1,C27,"")</f>
        <v/>
      </c>
      <c r="H27" s="24">
        <f t="shared" si="1"/>
        <v>1</v>
      </c>
      <c r="I27" s="24">
        <f t="shared" si="2"/>
        <v>0</v>
      </c>
      <c r="J27" s="24" t="e">
        <f t="shared" si="4"/>
        <v>#N/A</v>
      </c>
      <c r="K27" s="24" t="e">
        <f t="shared" si="5"/>
        <v>#N/A</v>
      </c>
      <c r="L27" s="25" t="str">
        <f t="shared" si="6"/>
        <v/>
      </c>
      <c r="M27" s="26">
        <f t="shared" si="7"/>
        <v>1</v>
      </c>
      <c r="N27" s="26"/>
      <c r="O27" s="26"/>
      <c r="P27" s="26"/>
      <c r="Q27" s="26"/>
      <c r="R27" s="24" t="str">
        <f t="shared" si="3"/>
        <v/>
      </c>
      <c r="T27" s="70"/>
      <c r="U27" s="67" t="s">
        <v>23</v>
      </c>
      <c r="V27" s="29">
        <v>1</v>
      </c>
      <c r="W27" s="29">
        <f>SQRT(V27)</f>
        <v>1</v>
      </c>
    </row>
    <row r="28" spans="1:23" x14ac:dyDescent="0.3">
      <c r="A28" s="20"/>
      <c r="B28" s="66"/>
      <c r="C28" s="66"/>
      <c r="D28" s="66"/>
      <c r="E28" s="31" t="str">
        <f t="shared" si="9"/>
        <v/>
      </c>
      <c r="F28" s="24" t="str">
        <f t="shared" si="0"/>
        <v/>
      </c>
      <c r="G28" s="24" t="str">
        <f>IF(SUM($H$5:H27)&lt;1,C28,"")</f>
        <v/>
      </c>
      <c r="H28" s="24">
        <f t="shared" si="1"/>
        <v>1</v>
      </c>
      <c r="I28" s="24">
        <f t="shared" si="2"/>
        <v>0</v>
      </c>
      <c r="J28" s="24" t="e">
        <f t="shared" si="4"/>
        <v>#N/A</v>
      </c>
      <c r="K28" s="24" t="e">
        <f t="shared" si="5"/>
        <v>#N/A</v>
      </c>
      <c r="L28" s="25" t="str">
        <f t="shared" si="6"/>
        <v/>
      </c>
      <c r="M28" s="26">
        <f t="shared" si="7"/>
        <v>1</v>
      </c>
      <c r="N28" s="26"/>
      <c r="O28" s="26"/>
      <c r="P28" s="26"/>
      <c r="Q28" s="26"/>
      <c r="R28" s="24" t="str">
        <f t="shared" si="3"/>
        <v/>
      </c>
      <c r="T28" s="70"/>
      <c r="U28" s="67"/>
      <c r="V28" s="29">
        <v>1000000</v>
      </c>
      <c r="W28" s="29">
        <f>SQRT(V28)</f>
        <v>1000</v>
      </c>
    </row>
    <row r="29" spans="1:23" x14ac:dyDescent="0.3">
      <c r="A29" s="20"/>
      <c r="B29" s="66"/>
      <c r="C29" s="66"/>
      <c r="D29" s="66"/>
      <c r="E29" s="31" t="str">
        <f t="shared" si="9"/>
        <v/>
      </c>
      <c r="F29" s="24" t="str">
        <f t="shared" si="0"/>
        <v/>
      </c>
      <c r="G29" s="24" t="str">
        <f>IF(SUM($H$5:H28)&lt;1,C29,"")</f>
        <v/>
      </c>
      <c r="H29" s="24">
        <f t="shared" si="1"/>
        <v>1</v>
      </c>
      <c r="I29" s="24">
        <f t="shared" si="2"/>
        <v>0</v>
      </c>
      <c r="J29" s="24" t="e">
        <f t="shared" si="4"/>
        <v>#N/A</v>
      </c>
      <c r="K29" s="24" t="e">
        <f t="shared" si="5"/>
        <v>#N/A</v>
      </c>
      <c r="L29" s="25" t="str">
        <f t="shared" si="6"/>
        <v/>
      </c>
      <c r="M29" s="26">
        <f t="shared" si="7"/>
        <v>1</v>
      </c>
      <c r="N29" s="26"/>
      <c r="O29" s="26"/>
      <c r="P29" s="26"/>
      <c r="Q29" s="26"/>
      <c r="R29" s="24" t="str">
        <f t="shared" si="3"/>
        <v/>
      </c>
    </row>
    <row r="30" spans="1:23" x14ac:dyDescent="0.3">
      <c r="A30" s="20"/>
      <c r="B30" s="66"/>
      <c r="C30" s="66"/>
      <c r="D30" s="66"/>
      <c r="E30" s="31" t="str">
        <f t="shared" si="9"/>
        <v/>
      </c>
      <c r="F30" s="24" t="str">
        <f t="shared" si="0"/>
        <v/>
      </c>
      <c r="G30" s="24" t="str">
        <f>IF(SUM($H$5:H29)&lt;1,C30,"")</f>
        <v/>
      </c>
      <c r="H30" s="24">
        <f t="shared" si="1"/>
        <v>1</v>
      </c>
      <c r="I30" s="24">
        <f t="shared" si="2"/>
        <v>0</v>
      </c>
      <c r="J30" s="24" t="e">
        <f t="shared" si="4"/>
        <v>#N/A</v>
      </c>
      <c r="K30" s="24" t="e">
        <f t="shared" si="5"/>
        <v>#N/A</v>
      </c>
      <c r="L30" s="25" t="str">
        <f t="shared" si="6"/>
        <v/>
      </c>
      <c r="M30" s="26">
        <f t="shared" si="7"/>
        <v>1</v>
      </c>
      <c r="N30" s="26"/>
      <c r="O30" s="26"/>
      <c r="P30" s="26"/>
      <c r="Q30" s="26"/>
      <c r="R30" s="24" t="str">
        <f t="shared" si="3"/>
        <v/>
      </c>
    </row>
    <row r="31" spans="1:23" x14ac:dyDescent="0.3">
      <c r="A31" s="20"/>
      <c r="B31" s="66"/>
      <c r="C31" s="66"/>
      <c r="D31" s="66"/>
      <c r="E31" s="31" t="str">
        <f t="shared" si="9"/>
        <v/>
      </c>
      <c r="F31" s="24" t="str">
        <f t="shared" si="0"/>
        <v/>
      </c>
      <c r="G31" s="24" t="str">
        <f>IF(SUM($H$5:H30)&lt;1,C31,"")</f>
        <v/>
      </c>
      <c r="H31" s="24">
        <f t="shared" si="1"/>
        <v>1</v>
      </c>
      <c r="I31" s="24">
        <f t="shared" si="2"/>
        <v>0</v>
      </c>
      <c r="J31" s="24" t="e">
        <f t="shared" si="4"/>
        <v>#N/A</v>
      </c>
      <c r="K31" s="24" t="e">
        <f t="shared" si="5"/>
        <v>#N/A</v>
      </c>
      <c r="L31" s="25" t="str">
        <f t="shared" si="6"/>
        <v/>
      </c>
      <c r="M31" s="26">
        <f t="shared" si="7"/>
        <v>1</v>
      </c>
      <c r="N31" s="26"/>
      <c r="O31" s="26"/>
      <c r="P31" s="26"/>
      <c r="Q31" s="26"/>
      <c r="R31" s="24" t="str">
        <f t="shared" si="3"/>
        <v/>
      </c>
    </row>
    <row r="32" spans="1:23" x14ac:dyDescent="0.3">
      <c r="A32" s="20"/>
      <c r="B32" s="66"/>
      <c r="C32" s="66"/>
      <c r="D32" s="66"/>
      <c r="E32" s="31" t="str">
        <f t="shared" si="9"/>
        <v/>
      </c>
      <c r="F32" s="24" t="str">
        <f t="shared" si="0"/>
        <v/>
      </c>
      <c r="G32" s="24" t="str">
        <f>IF(SUM($H$5:H31)&lt;1,C32,"")</f>
        <v/>
      </c>
      <c r="H32" s="24">
        <f t="shared" si="1"/>
        <v>1</v>
      </c>
      <c r="I32" s="24">
        <f t="shared" si="2"/>
        <v>0</v>
      </c>
      <c r="J32" s="24" t="e">
        <f t="shared" si="4"/>
        <v>#N/A</v>
      </c>
      <c r="K32" s="24" t="e">
        <f t="shared" si="5"/>
        <v>#N/A</v>
      </c>
      <c r="L32" s="25" t="str">
        <f t="shared" si="6"/>
        <v/>
      </c>
      <c r="M32" s="26">
        <f t="shared" si="7"/>
        <v>1</v>
      </c>
      <c r="N32" s="26"/>
      <c r="O32" s="26"/>
      <c r="P32" s="26"/>
      <c r="Q32" s="26"/>
      <c r="R32" s="24" t="str">
        <f t="shared" si="3"/>
        <v/>
      </c>
    </row>
    <row r="33" spans="1:23" x14ac:dyDescent="0.3">
      <c r="A33" s="20"/>
      <c r="B33" s="66"/>
      <c r="C33" s="66"/>
      <c r="D33" s="66"/>
      <c r="E33" s="31" t="str">
        <f t="shared" si="9"/>
        <v/>
      </c>
      <c r="F33" s="24" t="str">
        <f t="shared" si="0"/>
        <v/>
      </c>
      <c r="G33" s="24" t="str">
        <f>IF(SUM($H$5:H32)&lt;1,C33,"")</f>
        <v/>
      </c>
      <c r="H33" s="24">
        <f t="shared" si="1"/>
        <v>1</v>
      </c>
      <c r="I33" s="24">
        <f t="shared" si="2"/>
        <v>0</v>
      </c>
      <c r="J33" s="24" t="e">
        <f t="shared" si="4"/>
        <v>#N/A</v>
      </c>
      <c r="K33" s="24" t="e">
        <f t="shared" si="5"/>
        <v>#N/A</v>
      </c>
      <c r="L33" s="25" t="str">
        <f t="shared" si="6"/>
        <v/>
      </c>
      <c r="M33" s="26">
        <f t="shared" si="7"/>
        <v>1</v>
      </c>
      <c r="N33" s="26"/>
      <c r="O33" s="26"/>
      <c r="P33" s="26"/>
      <c r="Q33" s="26"/>
      <c r="R33" s="24" t="str">
        <f t="shared" si="3"/>
        <v/>
      </c>
    </row>
    <row r="34" spans="1:23" x14ac:dyDescent="0.3">
      <c r="A34" s="20"/>
      <c r="B34" s="66"/>
      <c r="C34" s="66"/>
      <c r="D34" s="66"/>
      <c r="E34" s="31" t="str">
        <f t="shared" si="9"/>
        <v/>
      </c>
      <c r="F34" s="24" t="str">
        <f t="shared" si="0"/>
        <v/>
      </c>
      <c r="G34" s="24" t="str">
        <f>IF(SUM($H$5:H33)&lt;1,C34,"")</f>
        <v/>
      </c>
      <c r="H34" s="24">
        <f t="shared" si="1"/>
        <v>1</v>
      </c>
      <c r="I34" s="24">
        <f t="shared" si="2"/>
        <v>0</v>
      </c>
      <c r="J34" s="24" t="e">
        <f t="shared" si="4"/>
        <v>#N/A</v>
      </c>
      <c r="K34" s="24" t="e">
        <f t="shared" si="5"/>
        <v>#N/A</v>
      </c>
      <c r="L34" s="25" t="str">
        <f t="shared" si="6"/>
        <v/>
      </c>
      <c r="M34" s="26">
        <f t="shared" si="7"/>
        <v>1</v>
      </c>
      <c r="N34" s="26"/>
      <c r="O34" s="26"/>
      <c r="P34" s="26"/>
      <c r="Q34" s="26"/>
      <c r="R34" s="24" t="str">
        <f t="shared" si="3"/>
        <v/>
      </c>
    </row>
    <row r="35" spans="1:23" x14ac:dyDescent="0.3">
      <c r="A35" s="20"/>
      <c r="B35" s="66"/>
      <c r="C35" s="66"/>
      <c r="D35" s="66"/>
      <c r="E35" s="31" t="str">
        <f t="shared" si="9"/>
        <v/>
      </c>
      <c r="F35" s="24" t="str">
        <f t="shared" si="0"/>
        <v/>
      </c>
      <c r="G35" s="24" t="str">
        <f>IF(SUM($H$5:H34)&lt;1,C35,"")</f>
        <v/>
      </c>
      <c r="H35" s="24">
        <f t="shared" si="1"/>
        <v>1</v>
      </c>
      <c r="I35" s="24">
        <f t="shared" si="2"/>
        <v>0</v>
      </c>
      <c r="J35" s="24" t="e">
        <f t="shared" si="4"/>
        <v>#N/A</v>
      </c>
      <c r="K35" s="24" t="e">
        <f t="shared" si="5"/>
        <v>#N/A</v>
      </c>
      <c r="L35" s="25" t="str">
        <f t="shared" si="6"/>
        <v/>
      </c>
      <c r="M35" s="26">
        <f t="shared" si="7"/>
        <v>1</v>
      </c>
      <c r="N35" s="26"/>
      <c r="O35" s="26"/>
      <c r="P35" s="26"/>
      <c r="Q35" s="26"/>
      <c r="R35" s="24" t="str">
        <f t="shared" si="3"/>
        <v/>
      </c>
    </row>
    <row r="36" spans="1:23" x14ac:dyDescent="0.3">
      <c r="A36" s="20"/>
      <c r="B36" s="66"/>
      <c r="C36" s="66"/>
      <c r="D36" s="66"/>
      <c r="E36" s="31" t="str">
        <f t="shared" si="9"/>
        <v/>
      </c>
      <c r="F36" s="24" t="str">
        <f t="shared" si="0"/>
        <v/>
      </c>
      <c r="G36" s="24" t="str">
        <f>IF(SUM($H$5:H35)&lt;1,C36,"")</f>
        <v/>
      </c>
      <c r="H36" s="24">
        <f t="shared" si="1"/>
        <v>1</v>
      </c>
      <c r="I36" s="24">
        <f t="shared" si="2"/>
        <v>0</v>
      </c>
      <c r="J36" s="24" t="e">
        <f t="shared" si="4"/>
        <v>#N/A</v>
      </c>
      <c r="K36" s="24" t="e">
        <f t="shared" si="5"/>
        <v>#N/A</v>
      </c>
      <c r="L36" s="25" t="str">
        <f t="shared" si="6"/>
        <v/>
      </c>
      <c r="M36" s="26">
        <f t="shared" si="7"/>
        <v>1</v>
      </c>
      <c r="N36" s="26"/>
      <c r="O36" s="26"/>
      <c r="P36" s="26"/>
      <c r="Q36" s="26"/>
      <c r="R36" s="24" t="str">
        <f t="shared" si="3"/>
        <v/>
      </c>
    </row>
    <row r="37" spans="1:23" x14ac:dyDescent="0.3">
      <c r="A37" s="20"/>
      <c r="B37" s="66"/>
      <c r="C37" s="66"/>
      <c r="D37" s="66"/>
      <c r="E37" s="31" t="str">
        <f t="shared" si="9"/>
        <v/>
      </c>
      <c r="F37" s="24" t="str">
        <f t="shared" si="0"/>
        <v/>
      </c>
      <c r="G37" s="24" t="str">
        <f>IF(SUM($H$5:H36)&lt;1,C37,"")</f>
        <v/>
      </c>
      <c r="H37" s="24">
        <f t="shared" si="1"/>
        <v>1</v>
      </c>
      <c r="I37" s="24">
        <f t="shared" si="2"/>
        <v>0</v>
      </c>
      <c r="J37" s="24" t="e">
        <f t="shared" si="4"/>
        <v>#N/A</v>
      </c>
      <c r="K37" s="24" t="e">
        <f t="shared" si="5"/>
        <v>#N/A</v>
      </c>
      <c r="L37" s="25" t="str">
        <f t="shared" si="6"/>
        <v/>
      </c>
      <c r="M37" s="26">
        <f t="shared" si="7"/>
        <v>1</v>
      </c>
      <c r="N37" s="26"/>
      <c r="O37" s="26"/>
      <c r="P37" s="26"/>
      <c r="Q37" s="26"/>
      <c r="R37" s="24" t="str">
        <f t="shared" si="3"/>
        <v/>
      </c>
    </row>
    <row r="38" spans="1:23" x14ac:dyDescent="0.3">
      <c r="A38" s="20"/>
      <c r="B38" s="66"/>
      <c r="C38" s="66"/>
      <c r="D38" s="66"/>
      <c r="E38" s="31" t="str">
        <f t="shared" si="9"/>
        <v/>
      </c>
      <c r="F38" s="24" t="str">
        <f t="shared" si="0"/>
        <v/>
      </c>
      <c r="G38" s="24" t="str">
        <f>IF(SUM($H$5:H37)&lt;1,C38,"")</f>
        <v/>
      </c>
      <c r="H38" s="24">
        <f t="shared" si="1"/>
        <v>1</v>
      </c>
      <c r="I38" s="24">
        <f t="shared" si="2"/>
        <v>0</v>
      </c>
      <c r="J38" s="24" t="e">
        <f t="shared" si="4"/>
        <v>#N/A</v>
      </c>
      <c r="K38" s="24" t="e">
        <f t="shared" si="5"/>
        <v>#N/A</v>
      </c>
      <c r="L38" s="25" t="str">
        <f t="shared" si="6"/>
        <v/>
      </c>
      <c r="M38" s="26">
        <f t="shared" si="7"/>
        <v>1</v>
      </c>
      <c r="N38" s="26"/>
      <c r="O38" s="26"/>
      <c r="P38" s="26"/>
      <c r="Q38" s="26"/>
      <c r="R38" s="24" t="str">
        <f t="shared" si="3"/>
        <v/>
      </c>
      <c r="U38" s="14" t="s">
        <v>16</v>
      </c>
      <c r="V38" s="14" t="s">
        <v>11</v>
      </c>
      <c r="W38" s="14" t="s">
        <v>12</v>
      </c>
    </row>
    <row r="39" spans="1:23" x14ac:dyDescent="0.3">
      <c r="A39" s="20"/>
      <c r="B39" s="66"/>
      <c r="C39" s="66"/>
      <c r="D39" s="66"/>
      <c r="E39" s="31" t="str">
        <f t="shared" si="9"/>
        <v/>
      </c>
      <c r="F39" s="24" t="str">
        <f t="shared" si="0"/>
        <v/>
      </c>
      <c r="G39" s="24" t="str">
        <f>IF(SUM($H$5:H38)&lt;1,C39,"")</f>
        <v/>
      </c>
      <c r="H39" s="24">
        <f t="shared" si="1"/>
        <v>1</v>
      </c>
      <c r="I39" s="24">
        <f t="shared" si="2"/>
        <v>0</v>
      </c>
      <c r="J39" s="24" t="e">
        <f t="shared" si="4"/>
        <v>#N/A</v>
      </c>
      <c r="K39" s="24" t="e">
        <f t="shared" si="5"/>
        <v>#N/A</v>
      </c>
      <c r="L39" s="25" t="str">
        <f t="shared" si="6"/>
        <v/>
      </c>
      <c r="M39" s="26">
        <f t="shared" si="7"/>
        <v>1</v>
      </c>
      <c r="N39" s="26"/>
      <c r="O39" s="26"/>
      <c r="P39" s="26"/>
      <c r="Q39" s="26"/>
      <c r="R39" s="24" t="str">
        <f t="shared" si="3"/>
        <v/>
      </c>
      <c r="U39" s="67" t="s">
        <v>17</v>
      </c>
      <c r="V39" s="13">
        <v>0</v>
      </c>
      <c r="W39" s="13">
        <f>SQRT(V39)</f>
        <v>0</v>
      </c>
    </row>
    <row r="40" spans="1:23" x14ac:dyDescent="0.3">
      <c r="A40" s="20"/>
      <c r="B40" s="66"/>
      <c r="C40" s="66"/>
      <c r="D40" s="66"/>
      <c r="E40" s="31" t="str">
        <f t="shared" si="9"/>
        <v/>
      </c>
      <c r="F40" s="24" t="str">
        <f t="shared" si="0"/>
        <v/>
      </c>
      <c r="G40" s="24" t="str">
        <f>IF(SUM($H$5:H39)&lt;1,C40,"")</f>
        <v/>
      </c>
      <c r="H40" s="24">
        <f t="shared" si="1"/>
        <v>1</v>
      </c>
      <c r="I40" s="24">
        <f t="shared" si="2"/>
        <v>0</v>
      </c>
      <c r="J40" s="24" t="e">
        <f t="shared" si="4"/>
        <v>#N/A</v>
      </c>
      <c r="K40" s="24" t="e">
        <f t="shared" si="5"/>
        <v>#N/A</v>
      </c>
      <c r="L40" s="25" t="str">
        <f t="shared" si="6"/>
        <v/>
      </c>
      <c r="M40" s="26">
        <f t="shared" si="7"/>
        <v>1</v>
      </c>
      <c r="N40" s="26"/>
      <c r="O40" s="26"/>
      <c r="P40" s="26"/>
      <c r="Q40" s="26"/>
      <c r="R40" s="24" t="str">
        <f t="shared" si="3"/>
        <v/>
      </c>
      <c r="U40" s="67"/>
      <c r="V40" s="13" t="e">
        <f>INDEX(F5:F105,(MATCH(MAX(F5:F105),F5:F105,0))*0.7,0)</f>
        <v>#N/A</v>
      </c>
      <c r="W40" s="13" t="e">
        <f>V40/V6</f>
        <v>#N/A</v>
      </c>
    </row>
    <row r="41" spans="1:23" x14ac:dyDescent="0.25">
      <c r="A41" s="20"/>
      <c r="B41" s="20"/>
      <c r="C41" s="21"/>
      <c r="D41" s="21"/>
      <c r="E41" s="31" t="str">
        <f t="shared" si="9"/>
        <v/>
      </c>
      <c r="F41" s="24" t="str">
        <f t="shared" si="0"/>
        <v/>
      </c>
      <c r="G41" s="24" t="str">
        <f>IF(SUM($H$5:H40)&lt;1,C41,"")</f>
        <v/>
      </c>
      <c r="H41" s="24">
        <f t="shared" si="1"/>
        <v>1</v>
      </c>
      <c r="I41" s="24">
        <f t="shared" si="2"/>
        <v>0</v>
      </c>
      <c r="J41" s="24" t="e">
        <f t="shared" si="4"/>
        <v>#N/A</v>
      </c>
      <c r="K41" s="24" t="e">
        <f t="shared" si="5"/>
        <v>#N/A</v>
      </c>
      <c r="L41" s="25" t="str">
        <f t="shared" si="6"/>
        <v/>
      </c>
      <c r="M41" s="26">
        <f t="shared" si="7"/>
        <v>1</v>
      </c>
      <c r="N41" s="26"/>
      <c r="O41" s="26"/>
      <c r="P41" s="26"/>
      <c r="Q41" s="26"/>
      <c r="R41" s="24" t="str">
        <f t="shared" si="3"/>
        <v/>
      </c>
      <c r="U41" s="68" t="s">
        <v>18</v>
      </c>
      <c r="V41" s="13">
        <f>MAX(F5:F103)</f>
        <v>0</v>
      </c>
      <c r="W41" s="13">
        <f>(MAX(C5:C103))^2</f>
        <v>0</v>
      </c>
    </row>
    <row r="42" spans="1:23" x14ac:dyDescent="0.25">
      <c r="A42" s="20"/>
      <c r="B42" s="20"/>
      <c r="C42" s="21"/>
      <c r="D42" s="21"/>
      <c r="E42" s="31" t="str">
        <f t="shared" si="9"/>
        <v/>
      </c>
      <c r="F42" s="24" t="str">
        <f t="shared" si="0"/>
        <v/>
      </c>
      <c r="G42" s="24" t="str">
        <f>IF(SUM($H$5:H41)&lt;1,C42,"")</f>
        <v/>
      </c>
      <c r="H42" s="24">
        <f t="shared" si="1"/>
        <v>1</v>
      </c>
      <c r="I42" s="24">
        <f t="shared" si="2"/>
        <v>0</v>
      </c>
      <c r="J42" s="24" t="e">
        <f t="shared" si="4"/>
        <v>#N/A</v>
      </c>
      <c r="K42" s="24" t="e">
        <f t="shared" si="5"/>
        <v>#N/A</v>
      </c>
      <c r="L42" s="25" t="str">
        <f t="shared" si="6"/>
        <v/>
      </c>
      <c r="M42" s="26">
        <f t="shared" si="7"/>
        <v>1</v>
      </c>
      <c r="N42" s="26"/>
      <c r="O42" s="26"/>
      <c r="P42" s="26"/>
      <c r="Q42" s="26"/>
      <c r="R42" s="24" t="str">
        <f t="shared" si="3"/>
        <v/>
      </c>
      <c r="U42" s="69"/>
      <c r="V42" s="13">
        <f>MAX(F5:F103)</f>
        <v>0</v>
      </c>
      <c r="W42" s="13">
        <v>-1000</v>
      </c>
    </row>
    <row r="43" spans="1:23" x14ac:dyDescent="0.25">
      <c r="A43" s="20"/>
      <c r="B43" s="20"/>
      <c r="C43" s="21"/>
      <c r="D43" s="21"/>
      <c r="E43" s="31" t="str">
        <f t="shared" si="9"/>
        <v/>
      </c>
      <c r="F43" s="24" t="str">
        <f t="shared" si="0"/>
        <v/>
      </c>
      <c r="G43" s="24" t="str">
        <f>IF(SUM($H$5:H42)&lt;1,C43,"")</f>
        <v/>
      </c>
      <c r="H43" s="24">
        <f t="shared" si="1"/>
        <v>1</v>
      </c>
      <c r="I43" s="24">
        <f t="shared" si="2"/>
        <v>0</v>
      </c>
      <c r="J43" s="24" t="e">
        <f t="shared" si="4"/>
        <v>#N/A</v>
      </c>
      <c r="K43" s="24" t="e">
        <f t="shared" si="5"/>
        <v>#N/A</v>
      </c>
      <c r="L43" s="25" t="str">
        <f t="shared" si="6"/>
        <v/>
      </c>
      <c r="M43" s="26">
        <f t="shared" si="7"/>
        <v>1</v>
      </c>
      <c r="N43" s="26"/>
      <c r="O43" s="26"/>
      <c r="P43" s="26"/>
      <c r="Q43" s="26"/>
      <c r="R43" s="24" t="str">
        <f t="shared" si="3"/>
        <v/>
      </c>
    </row>
    <row r="44" spans="1:23" x14ac:dyDescent="0.25">
      <c r="A44" s="20"/>
      <c r="B44" s="20"/>
      <c r="C44" s="21"/>
      <c r="D44" s="21"/>
      <c r="E44" s="31" t="str">
        <f t="shared" si="9"/>
        <v/>
      </c>
      <c r="F44" s="24" t="str">
        <f t="shared" si="0"/>
        <v/>
      </c>
      <c r="G44" s="24" t="str">
        <f>IF(SUM($H$5:H43)&lt;1,C44,"")</f>
        <v/>
      </c>
      <c r="H44" s="24">
        <f t="shared" si="1"/>
        <v>1</v>
      </c>
      <c r="I44" s="24">
        <f t="shared" si="2"/>
        <v>0</v>
      </c>
      <c r="J44" s="24" t="e">
        <f t="shared" si="4"/>
        <v>#N/A</v>
      </c>
      <c r="K44" s="24" t="e">
        <f t="shared" si="5"/>
        <v>#N/A</v>
      </c>
      <c r="L44" s="25" t="str">
        <f t="shared" si="6"/>
        <v/>
      </c>
      <c r="M44" s="26">
        <f t="shared" si="7"/>
        <v>1</v>
      </c>
      <c r="N44" s="26"/>
      <c r="O44" s="26"/>
      <c r="P44" s="26"/>
      <c r="Q44" s="26"/>
      <c r="R44" s="24" t="str">
        <f t="shared" si="3"/>
        <v/>
      </c>
    </row>
    <row r="45" spans="1:23" x14ac:dyDescent="0.25">
      <c r="A45" s="20"/>
      <c r="B45" s="20"/>
      <c r="C45" s="21"/>
      <c r="D45" s="21"/>
      <c r="E45" s="31" t="str">
        <f t="shared" si="9"/>
        <v/>
      </c>
      <c r="F45" s="24" t="str">
        <f t="shared" si="0"/>
        <v/>
      </c>
      <c r="G45" s="24" t="str">
        <f>IF(SUM($H$5:H44)&lt;1,C45,"")</f>
        <v/>
      </c>
      <c r="H45" s="24">
        <f t="shared" si="1"/>
        <v>1</v>
      </c>
      <c r="I45" s="24">
        <f t="shared" si="2"/>
        <v>0</v>
      </c>
      <c r="J45" s="24" t="e">
        <f t="shared" si="4"/>
        <v>#N/A</v>
      </c>
      <c r="K45" s="24" t="e">
        <f t="shared" si="5"/>
        <v>#N/A</v>
      </c>
      <c r="L45" s="25" t="str">
        <f t="shared" si="6"/>
        <v/>
      </c>
      <c r="M45" s="26">
        <f t="shared" si="7"/>
        <v>1</v>
      </c>
      <c r="N45" s="26"/>
      <c r="O45" s="26"/>
      <c r="P45" s="26"/>
      <c r="Q45" s="26"/>
      <c r="R45" s="24" t="str">
        <f t="shared" si="3"/>
        <v/>
      </c>
    </row>
    <row r="46" spans="1:23" x14ac:dyDescent="0.25">
      <c r="A46" s="20"/>
      <c r="B46" s="20"/>
      <c r="C46" s="21"/>
      <c r="D46" s="21"/>
      <c r="E46" s="31" t="str">
        <f t="shared" si="9"/>
        <v/>
      </c>
      <c r="F46" s="24" t="str">
        <f t="shared" si="0"/>
        <v/>
      </c>
      <c r="G46" s="24" t="str">
        <f>IF(SUM($H$5:H45)&lt;1,C46,"")</f>
        <v/>
      </c>
      <c r="H46" s="24">
        <f t="shared" si="1"/>
        <v>1</v>
      </c>
      <c r="I46" s="24">
        <f t="shared" si="2"/>
        <v>0</v>
      </c>
      <c r="J46" s="24" t="e">
        <f t="shared" si="4"/>
        <v>#N/A</v>
      </c>
      <c r="K46" s="24" t="e">
        <f t="shared" si="5"/>
        <v>#N/A</v>
      </c>
      <c r="L46" s="25" t="str">
        <f t="shared" si="6"/>
        <v/>
      </c>
      <c r="M46" s="26">
        <f t="shared" si="7"/>
        <v>1</v>
      </c>
      <c r="N46" s="26"/>
      <c r="O46" s="26"/>
      <c r="P46" s="26"/>
      <c r="Q46" s="26"/>
      <c r="R46" s="24" t="str">
        <f t="shared" si="3"/>
        <v/>
      </c>
    </row>
    <row r="47" spans="1:23" x14ac:dyDescent="0.25">
      <c r="A47" s="20"/>
      <c r="B47" s="20"/>
      <c r="C47" s="21"/>
      <c r="D47" s="21"/>
      <c r="E47" s="31" t="str">
        <f t="shared" si="9"/>
        <v/>
      </c>
      <c r="F47" s="24" t="str">
        <f t="shared" si="0"/>
        <v/>
      </c>
      <c r="G47" s="24" t="str">
        <f>IF(SUM($H$5:H46)&lt;1,C47,"")</f>
        <v/>
      </c>
      <c r="H47" s="24">
        <f t="shared" si="1"/>
        <v>1</v>
      </c>
      <c r="I47" s="24">
        <f t="shared" si="2"/>
        <v>0</v>
      </c>
      <c r="J47" s="24" t="e">
        <f t="shared" si="4"/>
        <v>#N/A</v>
      </c>
      <c r="K47" s="24" t="e">
        <f t="shared" si="5"/>
        <v>#N/A</v>
      </c>
      <c r="L47" s="25" t="str">
        <f t="shared" si="6"/>
        <v/>
      </c>
      <c r="M47" s="26">
        <f t="shared" si="7"/>
        <v>1</v>
      </c>
      <c r="N47" s="26"/>
      <c r="O47" s="26"/>
      <c r="P47" s="26"/>
      <c r="Q47" s="26"/>
      <c r="R47" s="24" t="str">
        <f t="shared" si="3"/>
        <v/>
      </c>
    </row>
    <row r="48" spans="1:23" x14ac:dyDescent="0.25">
      <c r="A48" s="20"/>
      <c r="B48" s="20"/>
      <c r="C48" s="21"/>
      <c r="D48" s="21"/>
      <c r="E48" s="31" t="str">
        <f t="shared" si="9"/>
        <v/>
      </c>
      <c r="F48" s="24" t="str">
        <f t="shared" si="0"/>
        <v/>
      </c>
      <c r="G48" s="24" t="str">
        <f>IF(SUM($H$5:H47)&lt;1,C48,"")</f>
        <v/>
      </c>
      <c r="H48" s="24">
        <f t="shared" si="1"/>
        <v>1</v>
      </c>
      <c r="I48" s="24">
        <f t="shared" si="2"/>
        <v>0</v>
      </c>
      <c r="J48" s="24" t="e">
        <f t="shared" si="4"/>
        <v>#N/A</v>
      </c>
      <c r="K48" s="24" t="e">
        <f t="shared" si="5"/>
        <v>#N/A</v>
      </c>
      <c r="L48" s="25" t="str">
        <f t="shared" si="6"/>
        <v/>
      </c>
      <c r="M48" s="26">
        <f t="shared" si="7"/>
        <v>1</v>
      </c>
      <c r="N48" s="26"/>
      <c r="O48" s="26"/>
      <c r="P48" s="26"/>
      <c r="Q48" s="26"/>
      <c r="R48" s="24" t="str">
        <f t="shared" si="3"/>
        <v/>
      </c>
    </row>
    <row r="49" spans="1:18" x14ac:dyDescent="0.25">
      <c r="A49" s="20"/>
      <c r="B49" s="20"/>
      <c r="C49" s="21"/>
      <c r="D49" s="21"/>
      <c r="E49" s="31" t="str">
        <f t="shared" si="9"/>
        <v/>
      </c>
      <c r="F49" s="24" t="str">
        <f t="shared" si="0"/>
        <v/>
      </c>
      <c r="G49" s="24" t="str">
        <f>IF(SUM($H$5:H48)&lt;1,C49,"")</f>
        <v/>
      </c>
      <c r="H49" s="24">
        <f t="shared" si="1"/>
        <v>1</v>
      </c>
      <c r="I49" s="24">
        <f t="shared" si="2"/>
        <v>0</v>
      </c>
      <c r="J49" s="24" t="e">
        <f t="shared" si="4"/>
        <v>#N/A</v>
      </c>
      <c r="K49" s="24" t="e">
        <f t="shared" si="5"/>
        <v>#N/A</v>
      </c>
      <c r="L49" s="25" t="str">
        <f t="shared" si="6"/>
        <v/>
      </c>
      <c r="M49" s="26">
        <f t="shared" si="7"/>
        <v>1</v>
      </c>
      <c r="N49" s="26"/>
      <c r="O49" s="26"/>
      <c r="P49" s="26"/>
      <c r="Q49" s="26"/>
      <c r="R49" s="24" t="str">
        <f t="shared" si="3"/>
        <v/>
      </c>
    </row>
    <row r="50" spans="1:18" x14ac:dyDescent="0.25">
      <c r="A50" s="20"/>
      <c r="B50" s="20"/>
      <c r="C50" s="21"/>
      <c r="D50" s="21"/>
      <c r="E50" s="31" t="str">
        <f t="shared" si="9"/>
        <v/>
      </c>
      <c r="F50" s="24" t="str">
        <f t="shared" si="0"/>
        <v/>
      </c>
      <c r="G50" s="24" t="str">
        <f>IF(SUM($H$5:H49)&lt;1,C50,"")</f>
        <v/>
      </c>
      <c r="H50" s="24">
        <f t="shared" si="1"/>
        <v>1</v>
      </c>
      <c r="I50" s="24">
        <f t="shared" si="2"/>
        <v>0</v>
      </c>
      <c r="J50" s="24" t="e">
        <f t="shared" si="4"/>
        <v>#N/A</v>
      </c>
      <c r="K50" s="24" t="e">
        <f t="shared" si="5"/>
        <v>#N/A</v>
      </c>
      <c r="L50" s="25" t="str">
        <f t="shared" si="6"/>
        <v/>
      </c>
      <c r="M50" s="26">
        <f t="shared" si="7"/>
        <v>1</v>
      </c>
      <c r="N50" s="26"/>
      <c r="O50" s="26"/>
      <c r="P50" s="26"/>
      <c r="Q50" s="26"/>
      <c r="R50" s="24" t="str">
        <f t="shared" si="3"/>
        <v/>
      </c>
    </row>
    <row r="51" spans="1:18" x14ac:dyDescent="0.25">
      <c r="A51" s="20"/>
      <c r="B51" s="20"/>
      <c r="C51" s="21"/>
      <c r="D51" s="21"/>
      <c r="E51" s="31" t="str">
        <f t="shared" si="9"/>
        <v/>
      </c>
      <c r="F51" s="24" t="str">
        <f t="shared" si="0"/>
        <v/>
      </c>
      <c r="G51" s="24" t="str">
        <f>IF(SUM($H$5:H50)&lt;1,C51,"")</f>
        <v/>
      </c>
      <c r="H51" s="24">
        <f t="shared" si="1"/>
        <v>1</v>
      </c>
      <c r="I51" s="24">
        <f t="shared" si="2"/>
        <v>0</v>
      </c>
      <c r="J51" s="24" t="e">
        <f t="shared" si="4"/>
        <v>#N/A</v>
      </c>
      <c r="K51" s="24" t="e">
        <f t="shared" si="5"/>
        <v>#N/A</v>
      </c>
      <c r="L51" s="25" t="str">
        <f t="shared" si="6"/>
        <v/>
      </c>
      <c r="M51" s="26">
        <f t="shared" si="7"/>
        <v>1</v>
      </c>
      <c r="N51" s="26"/>
      <c r="O51" s="26"/>
      <c r="P51" s="26"/>
      <c r="Q51" s="26"/>
      <c r="R51" s="24" t="str">
        <f t="shared" si="3"/>
        <v/>
      </c>
    </row>
    <row r="52" spans="1:18" x14ac:dyDescent="0.25">
      <c r="A52" s="20"/>
      <c r="B52" s="20"/>
      <c r="C52" s="21"/>
      <c r="D52" s="21"/>
      <c r="E52" s="31" t="str">
        <f t="shared" si="9"/>
        <v/>
      </c>
      <c r="F52" s="24" t="str">
        <f t="shared" si="0"/>
        <v/>
      </c>
      <c r="G52" s="24" t="str">
        <f>IF(SUM($H$5:H51)&lt;1,C52,"")</f>
        <v/>
      </c>
      <c r="H52" s="24">
        <f t="shared" si="1"/>
        <v>1</v>
      </c>
      <c r="I52" s="24">
        <f t="shared" si="2"/>
        <v>0</v>
      </c>
      <c r="J52" s="24" t="e">
        <f t="shared" si="4"/>
        <v>#N/A</v>
      </c>
      <c r="K52" s="24" t="e">
        <f t="shared" si="5"/>
        <v>#N/A</v>
      </c>
      <c r="L52" s="25" t="str">
        <f t="shared" si="6"/>
        <v/>
      </c>
      <c r="M52" s="26">
        <f t="shared" si="7"/>
        <v>1</v>
      </c>
      <c r="N52" s="26"/>
      <c r="O52" s="26"/>
      <c r="P52" s="26"/>
      <c r="Q52" s="26"/>
      <c r="R52" s="24" t="str">
        <f t="shared" si="3"/>
        <v/>
      </c>
    </row>
    <row r="53" spans="1:18" x14ac:dyDescent="0.25">
      <c r="A53" s="20"/>
      <c r="B53" s="20"/>
      <c r="C53" s="21"/>
      <c r="D53" s="21"/>
      <c r="E53" s="31" t="str">
        <f t="shared" si="9"/>
        <v/>
      </c>
      <c r="F53" s="24" t="str">
        <f t="shared" si="0"/>
        <v/>
      </c>
      <c r="G53" s="24" t="str">
        <f>IF(SUM($H$5:H52)&lt;1,C53,"")</f>
        <v/>
      </c>
      <c r="H53" s="24">
        <f t="shared" si="1"/>
        <v>1</v>
      </c>
      <c r="I53" s="24">
        <f t="shared" si="2"/>
        <v>0</v>
      </c>
      <c r="J53" s="24" t="e">
        <f t="shared" si="4"/>
        <v>#N/A</v>
      </c>
      <c r="K53" s="24" t="e">
        <f t="shared" si="5"/>
        <v>#N/A</v>
      </c>
      <c r="L53" s="25" t="str">
        <f t="shared" si="6"/>
        <v/>
      </c>
      <c r="M53" s="26">
        <f t="shared" si="7"/>
        <v>1</v>
      </c>
      <c r="N53" s="26"/>
      <c r="O53" s="26"/>
      <c r="P53" s="26"/>
      <c r="Q53" s="26"/>
      <c r="R53" s="24" t="str">
        <f t="shared" si="3"/>
        <v/>
      </c>
    </row>
    <row r="54" spans="1:18" x14ac:dyDescent="0.25">
      <c r="A54" s="20"/>
      <c r="B54" s="20"/>
      <c r="C54" s="21"/>
      <c r="D54" s="21"/>
      <c r="E54" s="31" t="str">
        <f t="shared" si="9"/>
        <v/>
      </c>
      <c r="F54" s="24" t="str">
        <f t="shared" si="0"/>
        <v/>
      </c>
      <c r="G54" s="24" t="str">
        <f>IF(SUM($H$5:H53)&lt;1,C54,"")</f>
        <v/>
      </c>
      <c r="H54" s="24">
        <f t="shared" si="1"/>
        <v>1</v>
      </c>
      <c r="I54" s="24">
        <f t="shared" si="2"/>
        <v>0</v>
      </c>
      <c r="J54" s="24" t="e">
        <f t="shared" si="4"/>
        <v>#N/A</v>
      </c>
      <c r="K54" s="24" t="e">
        <f t="shared" si="5"/>
        <v>#N/A</v>
      </c>
      <c r="L54" s="25" t="str">
        <f t="shared" si="6"/>
        <v/>
      </c>
      <c r="M54" s="26">
        <f t="shared" si="7"/>
        <v>1</v>
      </c>
      <c r="N54" s="26"/>
      <c r="O54" s="26"/>
      <c r="P54" s="26"/>
      <c r="Q54" s="26"/>
      <c r="R54" s="24" t="str">
        <f t="shared" si="3"/>
        <v/>
      </c>
    </row>
    <row r="55" spans="1:18" x14ac:dyDescent="0.25">
      <c r="A55" s="20"/>
      <c r="B55" s="20"/>
      <c r="C55" s="21"/>
      <c r="D55" s="21"/>
      <c r="E55" s="31" t="str">
        <f t="shared" si="9"/>
        <v/>
      </c>
      <c r="F55" s="24" t="str">
        <f t="shared" si="0"/>
        <v/>
      </c>
      <c r="G55" s="24" t="str">
        <f>IF(SUM($H$5:H54)&lt;1,C55,"")</f>
        <v/>
      </c>
      <c r="H55" s="24">
        <f t="shared" si="1"/>
        <v>1</v>
      </c>
      <c r="I55" s="24">
        <f t="shared" si="2"/>
        <v>0</v>
      </c>
      <c r="J55" s="24" t="e">
        <f t="shared" si="4"/>
        <v>#N/A</v>
      </c>
      <c r="K55" s="24" t="e">
        <f t="shared" si="5"/>
        <v>#N/A</v>
      </c>
      <c r="L55" s="25" t="str">
        <f t="shared" si="6"/>
        <v/>
      </c>
      <c r="M55" s="26">
        <f t="shared" si="7"/>
        <v>1</v>
      </c>
      <c r="N55" s="26"/>
      <c r="O55" s="26"/>
      <c r="P55" s="26"/>
      <c r="Q55" s="26"/>
      <c r="R55" s="24" t="str">
        <f t="shared" si="3"/>
        <v/>
      </c>
    </row>
    <row r="56" spans="1:18" x14ac:dyDescent="0.3">
      <c r="A56" s="21"/>
      <c r="B56" s="21"/>
      <c r="C56" s="21"/>
      <c r="D56" s="21"/>
      <c r="E56" s="31" t="str">
        <f t="shared" si="9"/>
        <v/>
      </c>
      <c r="F56" s="24" t="str">
        <f t="shared" si="0"/>
        <v/>
      </c>
      <c r="G56" s="24" t="str">
        <f>IF(SUM($H$5:H55)&lt;1,C56,"")</f>
        <v/>
      </c>
      <c r="H56" s="24">
        <f t="shared" si="1"/>
        <v>1</v>
      </c>
      <c r="I56" s="24">
        <f t="shared" si="2"/>
        <v>0</v>
      </c>
      <c r="J56" s="24" t="e">
        <f t="shared" si="4"/>
        <v>#N/A</v>
      </c>
      <c r="K56" s="24" t="e">
        <f t="shared" si="5"/>
        <v>#N/A</v>
      </c>
      <c r="L56" s="25" t="str">
        <f t="shared" si="6"/>
        <v/>
      </c>
      <c r="M56" s="26">
        <f t="shared" si="7"/>
        <v>1</v>
      </c>
      <c r="N56" s="26"/>
      <c r="O56" s="26"/>
      <c r="P56" s="26"/>
      <c r="Q56" s="26"/>
      <c r="R56" s="24" t="str">
        <f t="shared" si="3"/>
        <v/>
      </c>
    </row>
    <row r="57" spans="1:18" x14ac:dyDescent="0.3">
      <c r="A57" s="21"/>
      <c r="B57" s="21"/>
      <c r="C57" s="21"/>
      <c r="D57" s="21"/>
      <c r="E57" s="31" t="str">
        <f t="shared" si="9"/>
        <v/>
      </c>
      <c r="F57" s="24" t="str">
        <f t="shared" si="0"/>
        <v/>
      </c>
      <c r="G57" s="24" t="str">
        <f>IF(SUM($H$5:H56)&lt;1,C57,"")</f>
        <v/>
      </c>
      <c r="H57" s="24">
        <f t="shared" si="1"/>
        <v>1</v>
      </c>
      <c r="I57" s="24">
        <f t="shared" si="2"/>
        <v>0</v>
      </c>
      <c r="J57" s="24" t="e">
        <f t="shared" si="4"/>
        <v>#N/A</v>
      </c>
      <c r="K57" s="24" t="e">
        <f t="shared" si="5"/>
        <v>#N/A</v>
      </c>
      <c r="L57" s="25" t="str">
        <f t="shared" si="6"/>
        <v/>
      </c>
      <c r="M57" s="26">
        <f t="shared" si="7"/>
        <v>1</v>
      </c>
      <c r="N57" s="26"/>
      <c r="O57" s="26"/>
      <c r="P57" s="26"/>
      <c r="Q57" s="26"/>
      <c r="R57" s="24" t="str">
        <f t="shared" si="3"/>
        <v/>
      </c>
    </row>
    <row r="58" spans="1:18" x14ac:dyDescent="0.3">
      <c r="A58" s="21"/>
      <c r="B58" s="21"/>
      <c r="C58" s="21"/>
      <c r="D58" s="21"/>
      <c r="E58" s="31" t="str">
        <f t="shared" si="9"/>
        <v/>
      </c>
      <c r="F58" s="24" t="str">
        <f t="shared" si="0"/>
        <v/>
      </c>
      <c r="G58" s="24" t="str">
        <f>IF(SUM($H$5:H57)&lt;1,C58,"")</f>
        <v/>
      </c>
      <c r="H58" s="24">
        <f t="shared" si="1"/>
        <v>1</v>
      </c>
      <c r="I58" s="24">
        <f t="shared" si="2"/>
        <v>0</v>
      </c>
      <c r="J58" s="24" t="e">
        <f t="shared" si="4"/>
        <v>#N/A</v>
      </c>
      <c r="K58" s="24" t="e">
        <f t="shared" si="5"/>
        <v>#N/A</v>
      </c>
      <c r="L58" s="25" t="str">
        <f t="shared" si="6"/>
        <v/>
      </c>
      <c r="M58" s="26">
        <f t="shared" si="7"/>
        <v>1</v>
      </c>
      <c r="N58" s="26"/>
      <c r="O58" s="26"/>
      <c r="P58" s="26"/>
      <c r="Q58" s="26"/>
      <c r="R58" s="24" t="str">
        <f t="shared" si="3"/>
        <v/>
      </c>
    </row>
    <row r="59" spans="1:18" x14ac:dyDescent="0.3">
      <c r="A59" s="21"/>
      <c r="B59" s="21"/>
      <c r="C59" s="21"/>
      <c r="D59" s="21"/>
      <c r="E59" s="31" t="str">
        <f t="shared" si="9"/>
        <v/>
      </c>
      <c r="F59" s="24" t="str">
        <f t="shared" si="0"/>
        <v/>
      </c>
      <c r="G59" s="24" t="str">
        <f>IF(SUM($H$5:H58)&lt;1,C59,"")</f>
        <v/>
      </c>
      <c r="H59" s="24">
        <f t="shared" si="1"/>
        <v>1</v>
      </c>
      <c r="I59" s="24">
        <f t="shared" si="2"/>
        <v>0</v>
      </c>
      <c r="J59" s="24" t="e">
        <f t="shared" si="4"/>
        <v>#N/A</v>
      </c>
      <c r="K59" s="24" t="e">
        <f t="shared" si="5"/>
        <v>#N/A</v>
      </c>
      <c r="L59" s="25" t="str">
        <f t="shared" si="6"/>
        <v/>
      </c>
      <c r="M59" s="26">
        <f t="shared" si="7"/>
        <v>1</v>
      </c>
      <c r="N59" s="26"/>
      <c r="O59" s="26"/>
      <c r="P59" s="26"/>
      <c r="Q59" s="26"/>
      <c r="R59" s="24" t="str">
        <f t="shared" si="3"/>
        <v/>
      </c>
    </row>
    <row r="60" spans="1:18" x14ac:dyDescent="0.3">
      <c r="A60" s="21"/>
      <c r="B60" s="21"/>
      <c r="C60" s="21"/>
      <c r="D60" s="21"/>
      <c r="E60" s="31" t="str">
        <f t="shared" si="9"/>
        <v/>
      </c>
      <c r="F60" s="24" t="str">
        <f t="shared" si="0"/>
        <v/>
      </c>
      <c r="G60" s="24" t="str">
        <f>IF(SUM($H$5:H59)&lt;1,C60,"")</f>
        <v/>
      </c>
      <c r="H60" s="24">
        <f t="shared" si="1"/>
        <v>1</v>
      </c>
      <c r="I60" s="24">
        <f t="shared" si="2"/>
        <v>0</v>
      </c>
      <c r="J60" s="24" t="e">
        <f t="shared" si="4"/>
        <v>#N/A</v>
      </c>
      <c r="K60" s="24" t="e">
        <f t="shared" si="5"/>
        <v>#N/A</v>
      </c>
      <c r="L60" s="25" t="str">
        <f t="shared" si="6"/>
        <v/>
      </c>
      <c r="M60" s="26">
        <f t="shared" si="7"/>
        <v>1</v>
      </c>
      <c r="N60" s="26"/>
      <c r="O60" s="26"/>
      <c r="P60" s="26"/>
      <c r="Q60" s="26"/>
      <c r="R60" s="24" t="str">
        <f t="shared" si="3"/>
        <v/>
      </c>
    </row>
    <row r="61" spans="1:18" x14ac:dyDescent="0.3">
      <c r="A61" s="21"/>
      <c r="B61" s="21"/>
      <c r="C61" s="21"/>
      <c r="D61" s="21"/>
      <c r="E61" s="31" t="str">
        <f t="shared" si="9"/>
        <v/>
      </c>
      <c r="F61" s="24" t="str">
        <f t="shared" si="0"/>
        <v/>
      </c>
      <c r="G61" s="24" t="str">
        <f>IF(SUM($H$5:H60)&lt;1,C61,"")</f>
        <v/>
      </c>
      <c r="H61" s="24">
        <f t="shared" si="1"/>
        <v>1</v>
      </c>
      <c r="I61" s="24">
        <f t="shared" si="2"/>
        <v>0</v>
      </c>
      <c r="J61" s="24" t="e">
        <f t="shared" si="4"/>
        <v>#N/A</v>
      </c>
      <c r="K61" s="24" t="e">
        <f t="shared" si="5"/>
        <v>#N/A</v>
      </c>
      <c r="L61" s="25" t="str">
        <f t="shared" si="6"/>
        <v/>
      </c>
      <c r="M61" s="26">
        <f t="shared" si="7"/>
        <v>1</v>
      </c>
      <c r="N61" s="26"/>
      <c r="O61" s="26"/>
      <c r="P61" s="26"/>
      <c r="Q61" s="26"/>
      <c r="R61" s="24" t="str">
        <f t="shared" si="3"/>
        <v/>
      </c>
    </row>
    <row r="62" spans="1:18" x14ac:dyDescent="0.3">
      <c r="A62" s="21"/>
      <c r="B62" s="21"/>
      <c r="C62" s="21"/>
      <c r="D62" s="21"/>
      <c r="E62" s="31" t="str">
        <f t="shared" si="9"/>
        <v/>
      </c>
      <c r="F62" s="24" t="str">
        <f t="shared" si="0"/>
        <v/>
      </c>
      <c r="G62" s="24" t="str">
        <f>IF(SUM($H$5:H61)&lt;1,C62,"")</f>
        <v/>
      </c>
      <c r="H62" s="24">
        <f t="shared" si="1"/>
        <v>1</v>
      </c>
      <c r="I62" s="24">
        <f t="shared" si="2"/>
        <v>0</v>
      </c>
      <c r="J62" s="24" t="e">
        <f t="shared" si="4"/>
        <v>#N/A</v>
      </c>
      <c r="K62" s="24" t="e">
        <f t="shared" si="5"/>
        <v>#N/A</v>
      </c>
      <c r="L62" s="25" t="str">
        <f t="shared" si="6"/>
        <v/>
      </c>
      <c r="M62" s="26">
        <f t="shared" si="7"/>
        <v>1</v>
      </c>
      <c r="N62" s="26"/>
      <c r="O62" s="26"/>
      <c r="P62" s="26"/>
      <c r="Q62" s="26"/>
      <c r="R62" s="24" t="str">
        <f t="shared" si="3"/>
        <v/>
      </c>
    </row>
    <row r="63" spans="1:18" x14ac:dyDescent="0.3">
      <c r="A63" s="21"/>
      <c r="B63" s="21"/>
      <c r="C63" s="21"/>
      <c r="D63" s="21"/>
      <c r="E63" s="31" t="str">
        <f t="shared" si="9"/>
        <v/>
      </c>
      <c r="F63" s="24" t="str">
        <f t="shared" si="0"/>
        <v/>
      </c>
      <c r="G63" s="24" t="str">
        <f>IF(SUM($H$5:H62)&lt;1,C63,"")</f>
        <v/>
      </c>
      <c r="H63" s="24">
        <f t="shared" si="1"/>
        <v>1</v>
      </c>
      <c r="I63" s="24">
        <f t="shared" si="2"/>
        <v>0</v>
      </c>
      <c r="J63" s="24" t="e">
        <f t="shared" si="4"/>
        <v>#N/A</v>
      </c>
      <c r="K63" s="24" t="e">
        <f t="shared" si="5"/>
        <v>#N/A</v>
      </c>
      <c r="L63" s="25" t="str">
        <f t="shared" si="6"/>
        <v/>
      </c>
      <c r="M63" s="26">
        <f t="shared" si="7"/>
        <v>1</v>
      </c>
      <c r="N63" s="26"/>
      <c r="O63" s="26"/>
      <c r="P63" s="26"/>
      <c r="Q63" s="26"/>
      <c r="R63" s="24" t="str">
        <f t="shared" si="3"/>
        <v/>
      </c>
    </row>
    <row r="64" spans="1:18" x14ac:dyDescent="0.3">
      <c r="A64" s="21"/>
      <c r="B64" s="21"/>
      <c r="C64" s="21"/>
      <c r="D64" s="21"/>
      <c r="E64" s="31" t="str">
        <f t="shared" si="9"/>
        <v/>
      </c>
      <c r="F64" s="24" t="str">
        <f t="shared" si="0"/>
        <v/>
      </c>
      <c r="G64" s="24" t="str">
        <f>IF(SUM($H$5:H63)&lt;1,C64,"")</f>
        <v/>
      </c>
      <c r="H64" s="24">
        <f t="shared" si="1"/>
        <v>1</v>
      </c>
      <c r="I64" s="24">
        <f t="shared" si="2"/>
        <v>0</v>
      </c>
      <c r="J64" s="24" t="e">
        <f t="shared" si="4"/>
        <v>#N/A</v>
      </c>
      <c r="K64" s="24" t="e">
        <f t="shared" si="5"/>
        <v>#N/A</v>
      </c>
      <c r="L64" s="25" t="str">
        <f t="shared" si="6"/>
        <v/>
      </c>
      <c r="M64" s="26">
        <f t="shared" si="7"/>
        <v>1</v>
      </c>
      <c r="N64" s="26"/>
      <c r="O64" s="26"/>
      <c r="P64" s="26"/>
      <c r="Q64" s="26"/>
      <c r="R64" s="24" t="str">
        <f t="shared" si="3"/>
        <v/>
      </c>
    </row>
    <row r="65" spans="1:23" x14ac:dyDescent="0.3">
      <c r="A65" s="21"/>
      <c r="B65" s="21"/>
      <c r="C65" s="21"/>
      <c r="D65" s="21"/>
      <c r="E65" s="31" t="str">
        <f t="shared" si="9"/>
        <v/>
      </c>
      <c r="F65" s="24" t="str">
        <f t="shared" si="0"/>
        <v/>
      </c>
      <c r="G65" s="24" t="str">
        <f>IF(SUM($H$5:H64)&lt;1,C65,"")</f>
        <v/>
      </c>
      <c r="H65" s="24">
        <f t="shared" si="1"/>
        <v>1</v>
      </c>
      <c r="I65" s="24">
        <f t="shared" si="2"/>
        <v>0</v>
      </c>
      <c r="J65" s="24" t="e">
        <f t="shared" si="4"/>
        <v>#N/A</v>
      </c>
      <c r="K65" s="24" t="e">
        <f t="shared" si="5"/>
        <v>#N/A</v>
      </c>
      <c r="L65" s="25" t="str">
        <f t="shared" si="6"/>
        <v/>
      </c>
      <c r="M65" s="26">
        <f t="shared" si="7"/>
        <v>1</v>
      </c>
      <c r="N65" s="26"/>
      <c r="O65" s="26"/>
      <c r="P65" s="26"/>
      <c r="Q65" s="26"/>
      <c r="R65" s="24" t="str">
        <f t="shared" si="3"/>
        <v/>
      </c>
    </row>
    <row r="66" spans="1:23" x14ac:dyDescent="0.3">
      <c r="A66" s="21"/>
      <c r="B66" s="21"/>
      <c r="C66" s="21"/>
      <c r="D66" s="21"/>
      <c r="E66" s="31" t="str">
        <f t="shared" si="9"/>
        <v/>
      </c>
      <c r="F66" s="24" t="str">
        <f t="shared" si="0"/>
        <v/>
      </c>
      <c r="G66" s="24" t="str">
        <f>IF(SUM($H$5:H65)&lt;1,C66,"")</f>
        <v/>
      </c>
      <c r="H66" s="24">
        <f t="shared" si="1"/>
        <v>1</v>
      </c>
      <c r="I66" s="24">
        <f t="shared" si="2"/>
        <v>0</v>
      </c>
      <c r="J66" s="24" t="e">
        <f t="shared" si="4"/>
        <v>#N/A</v>
      </c>
      <c r="K66" s="24" t="e">
        <f t="shared" si="5"/>
        <v>#N/A</v>
      </c>
      <c r="L66" s="25" t="str">
        <f t="shared" si="6"/>
        <v/>
      </c>
      <c r="M66" s="26">
        <f t="shared" si="7"/>
        <v>1</v>
      </c>
      <c r="N66" s="26"/>
      <c r="O66" s="26"/>
      <c r="P66" s="26"/>
      <c r="Q66" s="26"/>
      <c r="R66" s="24" t="str">
        <f t="shared" si="3"/>
        <v/>
      </c>
    </row>
    <row r="67" spans="1:23" x14ac:dyDescent="0.3">
      <c r="A67" s="21"/>
      <c r="B67" s="21"/>
      <c r="C67" s="21"/>
      <c r="D67" s="21"/>
      <c r="E67" s="31" t="str">
        <f t="shared" si="9"/>
        <v/>
      </c>
      <c r="F67" s="24" t="str">
        <f t="shared" si="0"/>
        <v/>
      </c>
      <c r="G67" s="24" t="str">
        <f>IF(SUM($H$5:H66)&lt;1,C67,"")</f>
        <v/>
      </c>
      <c r="H67" s="24">
        <f t="shared" si="1"/>
        <v>1</v>
      </c>
      <c r="I67" s="24">
        <f t="shared" si="2"/>
        <v>0</v>
      </c>
      <c r="J67" s="24" t="e">
        <f t="shared" si="4"/>
        <v>#N/A</v>
      </c>
      <c r="K67" s="24" t="e">
        <f t="shared" si="5"/>
        <v>#N/A</v>
      </c>
      <c r="L67" s="25" t="str">
        <f t="shared" si="6"/>
        <v/>
      </c>
      <c r="M67" s="26">
        <f t="shared" si="7"/>
        <v>1</v>
      </c>
      <c r="N67" s="26"/>
      <c r="O67" s="26"/>
      <c r="P67" s="26"/>
      <c r="Q67" s="26"/>
      <c r="R67" s="24" t="str">
        <f t="shared" si="3"/>
        <v/>
      </c>
    </row>
    <row r="68" spans="1:23" x14ac:dyDescent="0.3">
      <c r="A68" s="21"/>
      <c r="B68" s="21"/>
      <c r="C68" s="21"/>
      <c r="D68" s="21"/>
      <c r="E68" s="31" t="str">
        <f t="shared" si="9"/>
        <v/>
      </c>
      <c r="F68" s="24" t="str">
        <f t="shared" si="0"/>
        <v/>
      </c>
      <c r="G68" s="24" t="str">
        <f>IF(SUM($H$5:H67)&lt;1,C68,"")</f>
        <v/>
      </c>
      <c r="H68" s="24">
        <f t="shared" si="1"/>
        <v>1</v>
      </c>
      <c r="I68" s="24">
        <f t="shared" si="2"/>
        <v>0</v>
      </c>
      <c r="J68" s="24" t="e">
        <f t="shared" si="4"/>
        <v>#N/A</v>
      </c>
      <c r="K68" s="24" t="e">
        <f t="shared" si="5"/>
        <v>#N/A</v>
      </c>
      <c r="L68" s="25" t="str">
        <f t="shared" si="6"/>
        <v/>
      </c>
      <c r="M68" s="26">
        <f t="shared" si="7"/>
        <v>1</v>
      </c>
      <c r="N68" s="26"/>
      <c r="O68" s="26"/>
      <c r="P68" s="26"/>
      <c r="Q68" s="26"/>
      <c r="R68" s="24" t="str">
        <f t="shared" si="3"/>
        <v/>
      </c>
    </row>
    <row r="69" spans="1:23" x14ac:dyDescent="0.3">
      <c r="A69" s="21"/>
      <c r="B69" s="21"/>
      <c r="C69" s="21"/>
      <c r="D69" s="21"/>
      <c r="E69" s="31" t="str">
        <f t="shared" si="9"/>
        <v/>
      </c>
      <c r="F69" s="24" t="str">
        <f t="shared" ref="F69:F105" si="11">IF(G69="","",B69)</f>
        <v/>
      </c>
      <c r="G69" s="24" t="str">
        <f>IF(SUM($H$5:H68)&lt;1,C69,"")</f>
        <v/>
      </c>
      <c r="H69" s="24">
        <f t="shared" ref="H69:H105" si="12">IF(MAX($C$5:$C$105)=C69,1,"")</f>
        <v>1</v>
      </c>
      <c r="I69" s="24">
        <f t="shared" ref="I69:I105" si="13">C69^2-$C$5^2</f>
        <v>0</v>
      </c>
      <c r="J69" s="24" t="e">
        <f t="shared" si="4"/>
        <v>#N/A</v>
      </c>
      <c r="K69" s="24" t="e">
        <f t="shared" si="5"/>
        <v>#N/A</v>
      </c>
      <c r="L69" s="25" t="str">
        <f t="shared" si="6"/>
        <v/>
      </c>
      <c r="M69" s="26">
        <f t="shared" si="7"/>
        <v>1</v>
      </c>
      <c r="N69" s="26"/>
      <c r="O69" s="26"/>
      <c r="P69" s="26"/>
      <c r="Q69" s="26"/>
      <c r="R69" s="24" t="str">
        <f t="shared" ref="R69:R105" si="14">IF(F69="","",(F69-(E69*$V$71+$V$72))*100/(MAX($F$5:$F$105)*0.9))</f>
        <v/>
      </c>
    </row>
    <row r="70" spans="1:23" x14ac:dyDescent="0.3">
      <c r="A70" s="21"/>
      <c r="B70" s="21"/>
      <c r="C70" s="21"/>
      <c r="D70" s="21"/>
      <c r="E70" s="31" t="str">
        <f t="shared" si="9"/>
        <v/>
      </c>
      <c r="F70" s="24" t="str">
        <f t="shared" si="11"/>
        <v/>
      </c>
      <c r="G70" s="24" t="str">
        <f>IF(SUM($H$5:H69)&lt;1,C70,"")</f>
        <v/>
      </c>
      <c r="H70" s="24">
        <f t="shared" si="12"/>
        <v>1</v>
      </c>
      <c r="I70" s="24">
        <f t="shared" si="13"/>
        <v>0</v>
      </c>
      <c r="J70" s="24" t="e">
        <f t="shared" ref="J70:J105" si="15">IF(AND($V$40&gt;F70,NOT(G70="")),F70,"")</f>
        <v>#N/A</v>
      </c>
      <c r="K70" s="24" t="e">
        <f t="shared" ref="K70:K105" si="16">IF(AND($V$40&gt;F70,NOT(G70="")),I70,"")</f>
        <v>#N/A</v>
      </c>
      <c r="L70" s="25" t="str">
        <f t="shared" ref="L70:L105" si="17">IF(G70="",L69,F70*$V$6*(100/$V$5))</f>
        <v/>
      </c>
      <c r="M70" s="26">
        <f t="shared" ref="M70:M105" si="18">IF(G70="",M69,(F70-$F$5)/G70)</f>
        <v>1</v>
      </c>
      <c r="N70" s="26"/>
      <c r="O70" s="26"/>
      <c r="P70" s="26"/>
      <c r="Q70" s="26"/>
      <c r="R70" s="24" t="str">
        <f t="shared" si="14"/>
        <v/>
      </c>
    </row>
    <row r="71" spans="1:23" x14ac:dyDescent="0.3">
      <c r="A71" s="21"/>
      <c r="B71" s="21"/>
      <c r="C71" s="21"/>
      <c r="D71" s="21"/>
      <c r="E71" s="31" t="str">
        <f t="shared" ref="E71:E105" si="19">IF(F71="","",E70+1)</f>
        <v/>
      </c>
      <c r="F71" s="24" t="str">
        <f t="shared" si="11"/>
        <v/>
      </c>
      <c r="G71" s="24" t="str">
        <f>IF(SUM($H$5:H70)&lt;1,C71,"")</f>
        <v/>
      </c>
      <c r="H71" s="24">
        <f t="shared" si="12"/>
        <v>1</v>
      </c>
      <c r="I71" s="24">
        <f t="shared" si="13"/>
        <v>0</v>
      </c>
      <c r="J71" s="24" t="e">
        <f t="shared" si="15"/>
        <v>#N/A</v>
      </c>
      <c r="K71" s="24" t="e">
        <f t="shared" si="16"/>
        <v>#N/A</v>
      </c>
      <c r="L71" s="25" t="str">
        <f t="shared" si="17"/>
        <v/>
      </c>
      <c r="M71" s="26">
        <f t="shared" si="18"/>
        <v>1</v>
      </c>
      <c r="N71" s="26"/>
      <c r="O71" s="26"/>
      <c r="P71" s="26"/>
      <c r="Q71" s="26"/>
      <c r="R71" s="24" t="str">
        <f t="shared" si="14"/>
        <v/>
      </c>
      <c r="U71" s="15" t="s">
        <v>3</v>
      </c>
      <c r="V71" s="11" t="e">
        <f>(MATCH(MAX(G5:G105),G5:G105)*SUMPRODUCT(E5:E105,F5:F105)-SUM(E5:E105)*SUM(F5:F105))/(MATCH(MAX(G5:G105),G5:G105)*SUMSQ(E5:E105) - SUM(E5:E105)^2)</f>
        <v>#N/A</v>
      </c>
    </row>
    <row r="72" spans="1:23" x14ac:dyDescent="0.3">
      <c r="A72" s="21"/>
      <c r="B72" s="21"/>
      <c r="C72" s="21"/>
      <c r="D72" s="21"/>
      <c r="E72" s="31" t="str">
        <f t="shared" si="19"/>
        <v/>
      </c>
      <c r="F72" s="24" t="str">
        <f t="shared" si="11"/>
        <v/>
      </c>
      <c r="G72" s="24" t="str">
        <f>IF(SUM($H$5:H71)&lt;1,C72,"")</f>
        <v/>
      </c>
      <c r="H72" s="24">
        <f t="shared" si="12"/>
        <v>1</v>
      </c>
      <c r="I72" s="24">
        <f t="shared" si="13"/>
        <v>0</v>
      </c>
      <c r="J72" s="24" t="e">
        <f t="shared" si="15"/>
        <v>#N/A</v>
      </c>
      <c r="K72" s="24" t="e">
        <f t="shared" si="16"/>
        <v>#N/A</v>
      </c>
      <c r="L72" s="25" t="str">
        <f t="shared" si="17"/>
        <v/>
      </c>
      <c r="M72" s="26">
        <f t="shared" si="18"/>
        <v>1</v>
      </c>
      <c r="N72" s="26"/>
      <c r="O72" s="26"/>
      <c r="P72" s="26"/>
      <c r="Q72" s="26"/>
      <c r="R72" s="24" t="str">
        <f t="shared" si="14"/>
        <v/>
      </c>
      <c r="U72" s="15" t="s">
        <v>4</v>
      </c>
      <c r="V72" s="11" t="e">
        <f>(SUM(F5:F105)*SUMSQ(E5:E105) - SUM(E5:E105)*SUMPRODUCT(E5:E105,F5:F105))/( MATCH(MAX(E5:E105),E5:E105)*SUMSQ(E5:E105) - SUM(E5:E105)^2)</f>
        <v>#DIV/0!</v>
      </c>
    </row>
    <row r="73" spans="1:23" x14ac:dyDescent="0.3">
      <c r="A73" s="21"/>
      <c r="B73" s="21"/>
      <c r="C73" s="21"/>
      <c r="D73" s="21"/>
      <c r="E73" s="31" t="str">
        <f t="shared" si="19"/>
        <v/>
      </c>
      <c r="F73" s="24" t="str">
        <f t="shared" si="11"/>
        <v/>
      </c>
      <c r="G73" s="24" t="str">
        <f>IF(SUM($H$5:H72)&lt;1,C73,"")</f>
        <v/>
      </c>
      <c r="H73" s="24">
        <f t="shared" si="12"/>
        <v>1</v>
      </c>
      <c r="I73" s="24">
        <f t="shared" si="13"/>
        <v>0</v>
      </c>
      <c r="J73" s="24" t="e">
        <f t="shared" si="15"/>
        <v>#N/A</v>
      </c>
      <c r="K73" s="24" t="e">
        <f t="shared" si="16"/>
        <v>#N/A</v>
      </c>
      <c r="L73" s="25" t="str">
        <f t="shared" si="17"/>
        <v/>
      </c>
      <c r="M73" s="26">
        <f t="shared" si="18"/>
        <v>1</v>
      </c>
      <c r="N73" s="26"/>
      <c r="O73" s="26"/>
      <c r="P73" s="26"/>
      <c r="Q73" s="26"/>
      <c r="R73" s="24" t="str">
        <f t="shared" si="14"/>
        <v/>
      </c>
      <c r="U73" s="16" t="s">
        <v>19</v>
      </c>
      <c r="V73" s="11">
        <f>(MAX(R5:R105)-MIN(R5:R105))/2</f>
        <v>0</v>
      </c>
    </row>
    <row r="74" spans="1:23" x14ac:dyDescent="0.3">
      <c r="A74" s="21"/>
      <c r="B74" s="21"/>
      <c r="C74" s="21"/>
      <c r="D74" s="21"/>
      <c r="E74" s="31" t="str">
        <f t="shared" si="19"/>
        <v/>
      </c>
      <c r="F74" s="24" t="str">
        <f t="shared" si="11"/>
        <v/>
      </c>
      <c r="G74" s="24" t="str">
        <f>IF(SUM($H$5:H73)&lt;1,C74,"")</f>
        <v/>
      </c>
      <c r="H74" s="24">
        <f t="shared" si="12"/>
        <v>1</v>
      </c>
      <c r="I74" s="24">
        <f t="shared" si="13"/>
        <v>0</v>
      </c>
      <c r="J74" s="24" t="e">
        <f t="shared" si="15"/>
        <v>#N/A</v>
      </c>
      <c r="K74" s="24" t="e">
        <f t="shared" si="16"/>
        <v>#N/A</v>
      </c>
      <c r="L74" s="25" t="str">
        <f t="shared" si="17"/>
        <v/>
      </c>
      <c r="M74" s="26">
        <f t="shared" si="18"/>
        <v>1</v>
      </c>
      <c r="N74" s="26"/>
      <c r="O74" s="26"/>
      <c r="P74" s="26"/>
      <c r="Q74" s="26"/>
      <c r="R74" s="24" t="str">
        <f t="shared" si="14"/>
        <v/>
      </c>
    </row>
    <row r="75" spans="1:23" x14ac:dyDescent="0.3">
      <c r="A75" s="21"/>
      <c r="B75" s="21"/>
      <c r="C75" s="21"/>
      <c r="D75" s="21"/>
      <c r="E75" s="31" t="str">
        <f t="shared" si="19"/>
        <v/>
      </c>
      <c r="F75" s="24" t="str">
        <f t="shared" si="11"/>
        <v/>
      </c>
      <c r="G75" s="24" t="str">
        <f>IF(SUM($H$5:H74)&lt;1,C75,"")</f>
        <v/>
      </c>
      <c r="H75" s="24">
        <f t="shared" si="12"/>
        <v>1</v>
      </c>
      <c r="I75" s="24">
        <f t="shared" si="13"/>
        <v>0</v>
      </c>
      <c r="J75" s="24" t="e">
        <f t="shared" si="15"/>
        <v>#N/A</v>
      </c>
      <c r="K75" s="24" t="e">
        <f t="shared" si="16"/>
        <v>#N/A</v>
      </c>
      <c r="L75" s="25" t="str">
        <f t="shared" si="17"/>
        <v/>
      </c>
      <c r="M75" s="26">
        <f t="shared" si="18"/>
        <v>1</v>
      </c>
      <c r="N75" s="26"/>
      <c r="O75" s="26"/>
      <c r="P75" s="26"/>
      <c r="Q75" s="26"/>
      <c r="R75" s="24" t="str">
        <f t="shared" si="14"/>
        <v/>
      </c>
      <c r="U75" s="33" t="s">
        <v>1</v>
      </c>
      <c r="V75" s="1">
        <v>0</v>
      </c>
      <c r="W75" s="1" t="e">
        <f>V72</f>
        <v>#DIV/0!</v>
      </c>
    </row>
    <row r="76" spans="1:23" x14ac:dyDescent="0.3">
      <c r="A76" s="21"/>
      <c r="B76" s="21"/>
      <c r="C76" s="21"/>
      <c r="D76" s="21"/>
      <c r="E76" s="31" t="str">
        <f t="shared" si="19"/>
        <v/>
      </c>
      <c r="F76" s="24" t="str">
        <f t="shared" si="11"/>
        <v/>
      </c>
      <c r="G76" s="24" t="str">
        <f>IF(SUM($H$5:H75)&lt;1,C76,"")</f>
        <v/>
      </c>
      <c r="H76" s="24">
        <f t="shared" si="12"/>
        <v>1</v>
      </c>
      <c r="I76" s="24">
        <f t="shared" si="13"/>
        <v>0</v>
      </c>
      <c r="J76" s="24" t="e">
        <f t="shared" si="15"/>
        <v>#N/A</v>
      </c>
      <c r="K76" s="24" t="e">
        <f t="shared" si="16"/>
        <v>#N/A</v>
      </c>
      <c r="L76" s="25" t="str">
        <f t="shared" si="17"/>
        <v/>
      </c>
      <c r="M76" s="26">
        <f t="shared" si="18"/>
        <v>1</v>
      </c>
      <c r="N76" s="26"/>
      <c r="O76" s="26"/>
      <c r="P76" s="26"/>
      <c r="Q76" s="26"/>
      <c r="R76" s="24" t="str">
        <f t="shared" si="14"/>
        <v/>
      </c>
      <c r="U76" s="33"/>
      <c r="V76" s="30">
        <f>MAX(L5:L105)</f>
        <v>0</v>
      </c>
      <c r="W76" s="1" t="e">
        <f>V71*MAX(E5:E105)+V75</f>
        <v>#N/A</v>
      </c>
    </row>
    <row r="77" spans="1:23" x14ac:dyDescent="0.3">
      <c r="A77" s="21"/>
      <c r="B77" s="21"/>
      <c r="C77" s="21"/>
      <c r="D77" s="21"/>
      <c r="E77" s="31" t="str">
        <f t="shared" si="19"/>
        <v/>
      </c>
      <c r="F77" s="24" t="str">
        <f t="shared" si="11"/>
        <v/>
      </c>
      <c r="G77" s="24" t="str">
        <f>IF(SUM($H$5:H76)&lt;1,C77,"")</f>
        <v/>
      </c>
      <c r="H77" s="24">
        <f t="shared" si="12"/>
        <v>1</v>
      </c>
      <c r="I77" s="24">
        <f t="shared" si="13"/>
        <v>0</v>
      </c>
      <c r="J77" s="24" t="e">
        <f t="shared" si="15"/>
        <v>#N/A</v>
      </c>
      <c r="K77" s="24" t="e">
        <f t="shared" si="16"/>
        <v>#N/A</v>
      </c>
      <c r="L77" s="25" t="str">
        <f t="shared" si="17"/>
        <v/>
      </c>
      <c r="M77" s="26">
        <f t="shared" si="18"/>
        <v>1</v>
      </c>
      <c r="N77" s="26"/>
      <c r="O77" s="26"/>
      <c r="P77" s="26"/>
      <c r="Q77" s="26"/>
      <c r="R77" s="24" t="str">
        <f t="shared" si="14"/>
        <v/>
      </c>
    </row>
    <row r="78" spans="1:23" x14ac:dyDescent="0.3">
      <c r="A78" s="21"/>
      <c r="B78" s="21"/>
      <c r="C78" s="21"/>
      <c r="D78" s="21"/>
      <c r="E78" s="31" t="str">
        <f t="shared" si="19"/>
        <v/>
      </c>
      <c r="F78" s="24" t="str">
        <f t="shared" si="11"/>
        <v/>
      </c>
      <c r="G78" s="24" t="str">
        <f>IF(SUM($H$5:H77)&lt;1,C78,"")</f>
        <v/>
      </c>
      <c r="H78" s="24">
        <f t="shared" si="12"/>
        <v>1</v>
      </c>
      <c r="I78" s="24">
        <f t="shared" si="13"/>
        <v>0</v>
      </c>
      <c r="J78" s="24" t="e">
        <f t="shared" si="15"/>
        <v>#N/A</v>
      </c>
      <c r="K78" s="24" t="e">
        <f t="shared" si="16"/>
        <v>#N/A</v>
      </c>
      <c r="L78" s="25" t="str">
        <f t="shared" si="17"/>
        <v/>
      </c>
      <c r="M78" s="26">
        <f t="shared" si="18"/>
        <v>1</v>
      </c>
      <c r="N78" s="26"/>
      <c r="O78" s="26"/>
      <c r="P78" s="26"/>
      <c r="Q78" s="26"/>
      <c r="R78" s="24" t="str">
        <f t="shared" si="14"/>
        <v/>
      </c>
    </row>
    <row r="79" spans="1:23" x14ac:dyDescent="0.3">
      <c r="A79" s="21"/>
      <c r="B79" s="21"/>
      <c r="C79" s="21"/>
      <c r="D79" s="21"/>
      <c r="E79" s="31" t="str">
        <f t="shared" si="19"/>
        <v/>
      </c>
      <c r="F79" s="24" t="str">
        <f t="shared" si="11"/>
        <v/>
      </c>
      <c r="G79" s="24" t="str">
        <f>IF(SUM($H$5:H78)&lt;1,C79,"")</f>
        <v/>
      </c>
      <c r="H79" s="24">
        <f t="shared" si="12"/>
        <v>1</v>
      </c>
      <c r="I79" s="24">
        <f t="shared" si="13"/>
        <v>0</v>
      </c>
      <c r="J79" s="24" t="e">
        <f t="shared" si="15"/>
        <v>#N/A</v>
      </c>
      <c r="K79" s="24" t="e">
        <f t="shared" si="16"/>
        <v>#N/A</v>
      </c>
      <c r="L79" s="25" t="str">
        <f t="shared" si="17"/>
        <v/>
      </c>
      <c r="M79" s="26">
        <f t="shared" si="18"/>
        <v>1</v>
      </c>
      <c r="N79" s="26"/>
      <c r="O79" s="26"/>
      <c r="P79" s="26"/>
      <c r="Q79" s="26"/>
      <c r="R79" s="24" t="str">
        <f t="shared" si="14"/>
        <v/>
      </c>
    </row>
    <row r="80" spans="1:23" x14ac:dyDescent="0.3">
      <c r="A80" s="21"/>
      <c r="B80" s="21"/>
      <c r="C80" s="21"/>
      <c r="D80" s="21"/>
      <c r="E80" s="31" t="str">
        <f t="shared" si="19"/>
        <v/>
      </c>
      <c r="F80" s="24" t="str">
        <f t="shared" si="11"/>
        <v/>
      </c>
      <c r="G80" s="24" t="str">
        <f>IF(SUM($H$5:H79)&lt;1,C80,"")</f>
        <v/>
      </c>
      <c r="H80" s="24">
        <f t="shared" si="12"/>
        <v>1</v>
      </c>
      <c r="I80" s="24">
        <f t="shared" si="13"/>
        <v>0</v>
      </c>
      <c r="J80" s="24" t="e">
        <f t="shared" si="15"/>
        <v>#N/A</v>
      </c>
      <c r="K80" s="24" t="e">
        <f t="shared" si="16"/>
        <v>#N/A</v>
      </c>
      <c r="L80" s="25" t="str">
        <f t="shared" si="17"/>
        <v/>
      </c>
      <c r="M80" s="26">
        <f t="shared" si="18"/>
        <v>1</v>
      </c>
      <c r="N80" s="26"/>
      <c r="O80" s="26"/>
      <c r="P80" s="26"/>
      <c r="Q80" s="26"/>
      <c r="R80" s="24" t="str">
        <f t="shared" si="14"/>
        <v/>
      </c>
    </row>
    <row r="81" spans="1:18" x14ac:dyDescent="0.3">
      <c r="A81" s="21"/>
      <c r="B81" s="21"/>
      <c r="C81" s="21"/>
      <c r="D81" s="21"/>
      <c r="E81" s="31" t="str">
        <f t="shared" si="19"/>
        <v/>
      </c>
      <c r="F81" s="24" t="str">
        <f t="shared" si="11"/>
        <v/>
      </c>
      <c r="G81" s="24" t="str">
        <f>IF(SUM($H$5:H80)&lt;1,C81,"")</f>
        <v/>
      </c>
      <c r="H81" s="24">
        <f t="shared" si="12"/>
        <v>1</v>
      </c>
      <c r="I81" s="24">
        <f t="shared" si="13"/>
        <v>0</v>
      </c>
      <c r="J81" s="24" t="e">
        <f t="shared" si="15"/>
        <v>#N/A</v>
      </c>
      <c r="K81" s="24" t="e">
        <f t="shared" si="16"/>
        <v>#N/A</v>
      </c>
      <c r="L81" s="25" t="str">
        <f t="shared" si="17"/>
        <v/>
      </c>
      <c r="M81" s="26">
        <f t="shared" si="18"/>
        <v>1</v>
      </c>
      <c r="N81" s="26"/>
      <c r="O81" s="26"/>
      <c r="P81" s="26"/>
      <c r="Q81" s="26"/>
      <c r="R81" s="24" t="str">
        <f t="shared" si="14"/>
        <v/>
      </c>
    </row>
    <row r="82" spans="1:18" x14ac:dyDescent="0.3">
      <c r="A82" s="21"/>
      <c r="B82" s="21"/>
      <c r="C82" s="21"/>
      <c r="D82" s="21"/>
      <c r="E82" s="31" t="str">
        <f t="shared" si="19"/>
        <v/>
      </c>
      <c r="F82" s="24" t="str">
        <f t="shared" si="11"/>
        <v/>
      </c>
      <c r="G82" s="24" t="str">
        <f>IF(SUM($H$5:H81)&lt;1,C82,"")</f>
        <v/>
      </c>
      <c r="H82" s="24">
        <f t="shared" si="12"/>
        <v>1</v>
      </c>
      <c r="I82" s="24">
        <f t="shared" si="13"/>
        <v>0</v>
      </c>
      <c r="J82" s="24" t="e">
        <f t="shared" si="15"/>
        <v>#N/A</v>
      </c>
      <c r="K82" s="24" t="e">
        <f t="shared" si="16"/>
        <v>#N/A</v>
      </c>
      <c r="L82" s="25" t="str">
        <f t="shared" si="17"/>
        <v/>
      </c>
      <c r="M82" s="26">
        <f t="shared" si="18"/>
        <v>1</v>
      </c>
      <c r="N82" s="26"/>
      <c r="O82" s="26"/>
      <c r="P82" s="26"/>
      <c r="Q82" s="26"/>
      <c r="R82" s="24" t="str">
        <f t="shared" si="14"/>
        <v/>
      </c>
    </row>
    <row r="83" spans="1:18" x14ac:dyDescent="0.3">
      <c r="A83" s="21"/>
      <c r="B83" s="21"/>
      <c r="C83" s="21"/>
      <c r="D83" s="21"/>
      <c r="E83" s="31" t="str">
        <f t="shared" si="19"/>
        <v/>
      </c>
      <c r="F83" s="24" t="str">
        <f t="shared" si="11"/>
        <v/>
      </c>
      <c r="G83" s="24" t="str">
        <f>IF(SUM($H$5:H82)&lt;1,C83,"")</f>
        <v/>
      </c>
      <c r="H83" s="24">
        <f t="shared" si="12"/>
        <v>1</v>
      </c>
      <c r="I83" s="24">
        <f t="shared" si="13"/>
        <v>0</v>
      </c>
      <c r="J83" s="24" t="e">
        <f t="shared" si="15"/>
        <v>#N/A</v>
      </c>
      <c r="K83" s="24" t="e">
        <f t="shared" si="16"/>
        <v>#N/A</v>
      </c>
      <c r="L83" s="25" t="str">
        <f t="shared" si="17"/>
        <v/>
      </c>
      <c r="M83" s="26">
        <f t="shared" si="18"/>
        <v>1</v>
      </c>
      <c r="N83" s="26"/>
      <c r="O83" s="26"/>
      <c r="P83" s="26"/>
      <c r="Q83" s="26"/>
      <c r="R83" s="24" t="str">
        <f t="shared" si="14"/>
        <v/>
      </c>
    </row>
    <row r="84" spans="1:18" x14ac:dyDescent="0.3">
      <c r="A84" s="21"/>
      <c r="B84" s="21"/>
      <c r="C84" s="21"/>
      <c r="D84" s="21"/>
      <c r="E84" s="31" t="str">
        <f t="shared" si="19"/>
        <v/>
      </c>
      <c r="F84" s="24" t="str">
        <f t="shared" si="11"/>
        <v/>
      </c>
      <c r="G84" s="24" t="str">
        <f>IF(SUM($H$5:H83)&lt;1,C84,"")</f>
        <v/>
      </c>
      <c r="H84" s="24">
        <f t="shared" si="12"/>
        <v>1</v>
      </c>
      <c r="I84" s="24">
        <f t="shared" si="13"/>
        <v>0</v>
      </c>
      <c r="J84" s="24" t="e">
        <f t="shared" si="15"/>
        <v>#N/A</v>
      </c>
      <c r="K84" s="24" t="e">
        <f t="shared" si="16"/>
        <v>#N/A</v>
      </c>
      <c r="L84" s="25" t="str">
        <f t="shared" si="17"/>
        <v/>
      </c>
      <c r="M84" s="26">
        <f t="shared" si="18"/>
        <v>1</v>
      </c>
      <c r="N84" s="26"/>
      <c r="O84" s="26"/>
      <c r="P84" s="26"/>
      <c r="Q84" s="26"/>
      <c r="R84" s="24" t="str">
        <f t="shared" si="14"/>
        <v/>
      </c>
    </row>
    <row r="85" spans="1:18" x14ac:dyDescent="0.3">
      <c r="A85" s="21"/>
      <c r="B85" s="21"/>
      <c r="C85" s="21"/>
      <c r="D85" s="21"/>
      <c r="E85" s="31" t="str">
        <f t="shared" si="19"/>
        <v/>
      </c>
      <c r="F85" s="24" t="str">
        <f t="shared" si="11"/>
        <v/>
      </c>
      <c r="G85" s="24" t="str">
        <f>IF(SUM($H$5:H84)&lt;1,C85,"")</f>
        <v/>
      </c>
      <c r="H85" s="24">
        <f t="shared" si="12"/>
        <v>1</v>
      </c>
      <c r="I85" s="24">
        <f t="shared" si="13"/>
        <v>0</v>
      </c>
      <c r="J85" s="24" t="e">
        <f t="shared" si="15"/>
        <v>#N/A</v>
      </c>
      <c r="K85" s="24" t="e">
        <f t="shared" si="16"/>
        <v>#N/A</v>
      </c>
      <c r="L85" s="25" t="str">
        <f t="shared" si="17"/>
        <v/>
      </c>
      <c r="M85" s="26">
        <f t="shared" si="18"/>
        <v>1</v>
      </c>
      <c r="N85" s="26"/>
      <c r="O85" s="26"/>
      <c r="P85" s="26"/>
      <c r="Q85" s="26"/>
      <c r="R85" s="24" t="str">
        <f t="shared" si="14"/>
        <v/>
      </c>
    </row>
    <row r="86" spans="1:18" x14ac:dyDescent="0.3">
      <c r="A86" s="21"/>
      <c r="B86" s="21"/>
      <c r="C86" s="21"/>
      <c r="D86" s="21"/>
      <c r="E86" s="31" t="str">
        <f t="shared" si="19"/>
        <v/>
      </c>
      <c r="F86" s="24" t="str">
        <f t="shared" si="11"/>
        <v/>
      </c>
      <c r="G86" s="24" t="str">
        <f>IF(SUM($H$5:H85)&lt;1,C86,"")</f>
        <v/>
      </c>
      <c r="H86" s="24">
        <f t="shared" si="12"/>
        <v>1</v>
      </c>
      <c r="I86" s="24">
        <f t="shared" si="13"/>
        <v>0</v>
      </c>
      <c r="J86" s="24" t="e">
        <f t="shared" si="15"/>
        <v>#N/A</v>
      </c>
      <c r="K86" s="24" t="e">
        <f t="shared" si="16"/>
        <v>#N/A</v>
      </c>
      <c r="L86" s="25" t="str">
        <f t="shared" si="17"/>
        <v/>
      </c>
      <c r="M86" s="26">
        <f t="shared" si="18"/>
        <v>1</v>
      </c>
      <c r="N86" s="26"/>
      <c r="O86" s="26"/>
      <c r="P86" s="26"/>
      <c r="Q86" s="26"/>
      <c r="R86" s="24" t="str">
        <f t="shared" si="14"/>
        <v/>
      </c>
    </row>
    <row r="87" spans="1:18" x14ac:dyDescent="0.3">
      <c r="A87" s="21"/>
      <c r="B87" s="21"/>
      <c r="C87" s="21"/>
      <c r="D87" s="21"/>
      <c r="E87" s="31" t="str">
        <f t="shared" si="19"/>
        <v/>
      </c>
      <c r="F87" s="24" t="str">
        <f t="shared" si="11"/>
        <v/>
      </c>
      <c r="G87" s="24" t="str">
        <f>IF(SUM($H$5:H86)&lt;1,C87,"")</f>
        <v/>
      </c>
      <c r="H87" s="24">
        <f t="shared" si="12"/>
        <v>1</v>
      </c>
      <c r="I87" s="24">
        <f t="shared" si="13"/>
        <v>0</v>
      </c>
      <c r="J87" s="24" t="e">
        <f t="shared" si="15"/>
        <v>#N/A</v>
      </c>
      <c r="K87" s="24" t="e">
        <f t="shared" si="16"/>
        <v>#N/A</v>
      </c>
      <c r="L87" s="25" t="str">
        <f t="shared" si="17"/>
        <v/>
      </c>
      <c r="M87" s="26">
        <f t="shared" si="18"/>
        <v>1</v>
      </c>
      <c r="N87" s="26"/>
      <c r="O87" s="26"/>
      <c r="P87" s="26"/>
      <c r="Q87" s="26"/>
      <c r="R87" s="24" t="str">
        <f t="shared" si="14"/>
        <v/>
      </c>
    </row>
    <row r="88" spans="1:18" x14ac:dyDescent="0.3">
      <c r="A88" s="21"/>
      <c r="B88" s="21"/>
      <c r="C88" s="21"/>
      <c r="D88" s="21"/>
      <c r="E88" s="31" t="str">
        <f t="shared" si="19"/>
        <v/>
      </c>
      <c r="F88" s="24" t="str">
        <f t="shared" si="11"/>
        <v/>
      </c>
      <c r="G88" s="24" t="str">
        <f>IF(SUM($H$5:H87)&lt;1,C88,"")</f>
        <v/>
      </c>
      <c r="H88" s="24">
        <f t="shared" si="12"/>
        <v>1</v>
      </c>
      <c r="I88" s="24">
        <f t="shared" si="13"/>
        <v>0</v>
      </c>
      <c r="J88" s="24" t="e">
        <f t="shared" si="15"/>
        <v>#N/A</v>
      </c>
      <c r="K88" s="24" t="e">
        <f t="shared" si="16"/>
        <v>#N/A</v>
      </c>
      <c r="L88" s="25" t="str">
        <f t="shared" si="17"/>
        <v/>
      </c>
      <c r="M88" s="26">
        <f t="shared" si="18"/>
        <v>1</v>
      </c>
      <c r="N88" s="26"/>
      <c r="O88" s="26"/>
      <c r="P88" s="26"/>
      <c r="Q88" s="26"/>
      <c r="R88" s="24" t="str">
        <f t="shared" si="14"/>
        <v/>
      </c>
    </row>
    <row r="89" spans="1:18" x14ac:dyDescent="0.3">
      <c r="A89" s="21"/>
      <c r="B89" s="21"/>
      <c r="C89" s="21"/>
      <c r="D89" s="21"/>
      <c r="E89" s="31" t="str">
        <f t="shared" si="19"/>
        <v/>
      </c>
      <c r="F89" s="24" t="str">
        <f t="shared" si="11"/>
        <v/>
      </c>
      <c r="G89" s="24" t="str">
        <f>IF(SUM($H$5:H88)&lt;1,C89,"")</f>
        <v/>
      </c>
      <c r="H89" s="24">
        <f t="shared" si="12"/>
        <v>1</v>
      </c>
      <c r="I89" s="24">
        <f t="shared" si="13"/>
        <v>0</v>
      </c>
      <c r="J89" s="24" t="e">
        <f t="shared" si="15"/>
        <v>#N/A</v>
      </c>
      <c r="K89" s="24" t="e">
        <f t="shared" si="16"/>
        <v>#N/A</v>
      </c>
      <c r="L89" s="25" t="str">
        <f t="shared" si="17"/>
        <v/>
      </c>
      <c r="M89" s="26">
        <f t="shared" si="18"/>
        <v>1</v>
      </c>
      <c r="N89" s="26"/>
      <c r="O89" s="26"/>
      <c r="P89" s="26"/>
      <c r="Q89" s="26"/>
      <c r="R89" s="24" t="str">
        <f t="shared" si="14"/>
        <v/>
      </c>
    </row>
    <row r="90" spans="1:18" x14ac:dyDescent="0.3">
      <c r="A90" s="21"/>
      <c r="B90" s="21"/>
      <c r="C90" s="21"/>
      <c r="D90" s="21"/>
      <c r="E90" s="31" t="str">
        <f t="shared" si="19"/>
        <v/>
      </c>
      <c r="F90" s="24" t="str">
        <f t="shared" si="11"/>
        <v/>
      </c>
      <c r="G90" s="24" t="str">
        <f>IF(SUM($H$5:H89)&lt;1,C90,"")</f>
        <v/>
      </c>
      <c r="H90" s="24">
        <f t="shared" si="12"/>
        <v>1</v>
      </c>
      <c r="I90" s="24">
        <f t="shared" si="13"/>
        <v>0</v>
      </c>
      <c r="J90" s="24" t="e">
        <f t="shared" si="15"/>
        <v>#N/A</v>
      </c>
      <c r="K90" s="24" t="e">
        <f t="shared" si="16"/>
        <v>#N/A</v>
      </c>
      <c r="L90" s="25" t="str">
        <f t="shared" si="17"/>
        <v/>
      </c>
      <c r="M90" s="26">
        <f t="shared" si="18"/>
        <v>1</v>
      </c>
      <c r="N90" s="26"/>
      <c r="O90" s="26"/>
      <c r="P90" s="26"/>
      <c r="Q90" s="26"/>
      <c r="R90" s="24" t="str">
        <f t="shared" si="14"/>
        <v/>
      </c>
    </row>
    <row r="91" spans="1:18" x14ac:dyDescent="0.3">
      <c r="A91" s="21"/>
      <c r="B91" s="21"/>
      <c r="C91" s="21"/>
      <c r="D91" s="21"/>
      <c r="E91" s="31" t="str">
        <f t="shared" si="19"/>
        <v/>
      </c>
      <c r="F91" s="24" t="str">
        <f t="shared" si="11"/>
        <v/>
      </c>
      <c r="G91" s="24" t="str">
        <f>IF(SUM($H$5:H90)&lt;1,C91,"")</f>
        <v/>
      </c>
      <c r="H91" s="24">
        <f t="shared" si="12"/>
        <v>1</v>
      </c>
      <c r="I91" s="24">
        <f t="shared" si="13"/>
        <v>0</v>
      </c>
      <c r="J91" s="24" t="e">
        <f t="shared" si="15"/>
        <v>#N/A</v>
      </c>
      <c r="K91" s="24" t="e">
        <f t="shared" si="16"/>
        <v>#N/A</v>
      </c>
      <c r="L91" s="25" t="str">
        <f t="shared" si="17"/>
        <v/>
      </c>
      <c r="M91" s="26">
        <f t="shared" si="18"/>
        <v>1</v>
      </c>
      <c r="N91" s="26"/>
      <c r="O91" s="26"/>
      <c r="P91" s="26"/>
      <c r="Q91" s="26"/>
      <c r="R91" s="24" t="str">
        <f t="shared" si="14"/>
        <v/>
      </c>
    </row>
    <row r="92" spans="1:18" x14ac:dyDescent="0.3">
      <c r="A92" s="21"/>
      <c r="B92" s="21"/>
      <c r="C92" s="21"/>
      <c r="D92" s="21"/>
      <c r="E92" s="31" t="str">
        <f t="shared" si="19"/>
        <v/>
      </c>
      <c r="F92" s="24" t="str">
        <f t="shared" si="11"/>
        <v/>
      </c>
      <c r="G92" s="24" t="str">
        <f>IF(SUM($H$5:H91)&lt;1,C92,"")</f>
        <v/>
      </c>
      <c r="H92" s="24">
        <f t="shared" si="12"/>
        <v>1</v>
      </c>
      <c r="I92" s="24">
        <f t="shared" si="13"/>
        <v>0</v>
      </c>
      <c r="J92" s="24" t="e">
        <f t="shared" si="15"/>
        <v>#N/A</v>
      </c>
      <c r="K92" s="24" t="e">
        <f t="shared" si="16"/>
        <v>#N/A</v>
      </c>
      <c r="L92" s="25" t="str">
        <f t="shared" si="17"/>
        <v/>
      </c>
      <c r="M92" s="26">
        <f t="shared" si="18"/>
        <v>1</v>
      </c>
      <c r="N92" s="26"/>
      <c r="O92" s="26"/>
      <c r="P92" s="26"/>
      <c r="Q92" s="26"/>
      <c r="R92" s="24" t="str">
        <f t="shared" si="14"/>
        <v/>
      </c>
    </row>
    <row r="93" spans="1:18" x14ac:dyDescent="0.3">
      <c r="A93" s="21"/>
      <c r="B93" s="21"/>
      <c r="C93" s="21"/>
      <c r="D93" s="21"/>
      <c r="E93" s="31" t="str">
        <f t="shared" si="19"/>
        <v/>
      </c>
      <c r="F93" s="24" t="str">
        <f t="shared" si="11"/>
        <v/>
      </c>
      <c r="G93" s="24" t="str">
        <f>IF(SUM($H$5:H92)&lt;1,C93,"")</f>
        <v/>
      </c>
      <c r="H93" s="24">
        <f t="shared" si="12"/>
        <v>1</v>
      </c>
      <c r="I93" s="24">
        <f t="shared" si="13"/>
        <v>0</v>
      </c>
      <c r="J93" s="24" t="e">
        <f t="shared" si="15"/>
        <v>#N/A</v>
      </c>
      <c r="K93" s="24" t="e">
        <f t="shared" si="16"/>
        <v>#N/A</v>
      </c>
      <c r="L93" s="25" t="str">
        <f t="shared" si="17"/>
        <v/>
      </c>
      <c r="M93" s="26">
        <f t="shared" si="18"/>
        <v>1</v>
      </c>
      <c r="N93" s="26"/>
      <c r="O93" s="26"/>
      <c r="P93" s="26"/>
      <c r="Q93" s="26"/>
      <c r="R93" s="24" t="str">
        <f t="shared" si="14"/>
        <v/>
      </c>
    </row>
    <row r="94" spans="1:18" x14ac:dyDescent="0.3">
      <c r="A94" s="21"/>
      <c r="B94" s="21"/>
      <c r="C94" s="21"/>
      <c r="D94" s="21"/>
      <c r="E94" s="31" t="str">
        <f t="shared" si="19"/>
        <v/>
      </c>
      <c r="F94" s="24" t="str">
        <f t="shared" si="11"/>
        <v/>
      </c>
      <c r="G94" s="24" t="str">
        <f>IF(SUM($H$5:H93)&lt;1,C94,"")</f>
        <v/>
      </c>
      <c r="H94" s="24">
        <f t="shared" si="12"/>
        <v>1</v>
      </c>
      <c r="I94" s="24">
        <f t="shared" si="13"/>
        <v>0</v>
      </c>
      <c r="J94" s="24" t="e">
        <f t="shared" si="15"/>
        <v>#N/A</v>
      </c>
      <c r="K94" s="24" t="e">
        <f t="shared" si="16"/>
        <v>#N/A</v>
      </c>
      <c r="L94" s="25" t="str">
        <f t="shared" si="17"/>
        <v/>
      </c>
      <c r="M94" s="26">
        <f t="shared" si="18"/>
        <v>1</v>
      </c>
      <c r="N94" s="26"/>
      <c r="O94" s="26"/>
      <c r="P94" s="26"/>
      <c r="Q94" s="26"/>
      <c r="R94" s="24" t="str">
        <f t="shared" si="14"/>
        <v/>
      </c>
    </row>
    <row r="95" spans="1:18" x14ac:dyDescent="0.3">
      <c r="A95" s="21"/>
      <c r="B95" s="21"/>
      <c r="C95" s="21"/>
      <c r="D95" s="21"/>
      <c r="E95" s="31" t="str">
        <f t="shared" si="19"/>
        <v/>
      </c>
      <c r="F95" s="24" t="str">
        <f t="shared" si="11"/>
        <v/>
      </c>
      <c r="G95" s="24" t="str">
        <f>IF(SUM($H$5:H94)&lt;1,C95,"")</f>
        <v/>
      </c>
      <c r="H95" s="24">
        <f t="shared" si="12"/>
        <v>1</v>
      </c>
      <c r="I95" s="24">
        <f t="shared" si="13"/>
        <v>0</v>
      </c>
      <c r="J95" s="24" t="e">
        <f t="shared" si="15"/>
        <v>#N/A</v>
      </c>
      <c r="K95" s="24" t="e">
        <f t="shared" si="16"/>
        <v>#N/A</v>
      </c>
      <c r="L95" s="25" t="str">
        <f t="shared" si="17"/>
        <v/>
      </c>
      <c r="M95" s="26">
        <f t="shared" si="18"/>
        <v>1</v>
      </c>
      <c r="N95" s="26"/>
      <c r="O95" s="26"/>
      <c r="P95" s="26"/>
      <c r="Q95" s="26"/>
      <c r="R95" s="24" t="str">
        <f t="shared" si="14"/>
        <v/>
      </c>
    </row>
    <row r="96" spans="1:18" x14ac:dyDescent="0.3">
      <c r="A96" s="21"/>
      <c r="B96" s="21"/>
      <c r="C96" s="21"/>
      <c r="D96" s="21"/>
      <c r="E96" s="31" t="str">
        <f t="shared" si="19"/>
        <v/>
      </c>
      <c r="F96" s="24" t="str">
        <f t="shared" si="11"/>
        <v/>
      </c>
      <c r="G96" s="24" t="str">
        <f>IF(SUM($H$5:H95)&lt;1,C96,"")</f>
        <v/>
      </c>
      <c r="H96" s="24">
        <f t="shared" si="12"/>
        <v>1</v>
      </c>
      <c r="I96" s="24">
        <f t="shared" si="13"/>
        <v>0</v>
      </c>
      <c r="J96" s="24" t="e">
        <f t="shared" si="15"/>
        <v>#N/A</v>
      </c>
      <c r="K96" s="24" t="e">
        <f t="shared" si="16"/>
        <v>#N/A</v>
      </c>
      <c r="L96" s="25" t="str">
        <f t="shared" si="17"/>
        <v/>
      </c>
      <c r="M96" s="26">
        <f t="shared" si="18"/>
        <v>1</v>
      </c>
      <c r="N96" s="26"/>
      <c r="O96" s="26"/>
      <c r="P96" s="26"/>
      <c r="Q96" s="26"/>
      <c r="R96" s="24" t="str">
        <f t="shared" si="14"/>
        <v/>
      </c>
    </row>
    <row r="97" spans="1:18" x14ac:dyDescent="0.3">
      <c r="A97" s="21"/>
      <c r="B97" s="21"/>
      <c r="C97" s="21"/>
      <c r="D97" s="21"/>
      <c r="E97" s="31" t="str">
        <f t="shared" si="19"/>
        <v/>
      </c>
      <c r="F97" s="24" t="str">
        <f t="shared" si="11"/>
        <v/>
      </c>
      <c r="G97" s="24" t="str">
        <f>IF(SUM($H$5:H96)&lt;1,C97,"")</f>
        <v/>
      </c>
      <c r="H97" s="24">
        <f t="shared" si="12"/>
        <v>1</v>
      </c>
      <c r="I97" s="24">
        <f t="shared" si="13"/>
        <v>0</v>
      </c>
      <c r="J97" s="24" t="e">
        <f t="shared" si="15"/>
        <v>#N/A</v>
      </c>
      <c r="K97" s="24" t="e">
        <f t="shared" si="16"/>
        <v>#N/A</v>
      </c>
      <c r="L97" s="25" t="str">
        <f t="shared" si="17"/>
        <v/>
      </c>
      <c r="M97" s="26">
        <f t="shared" si="18"/>
        <v>1</v>
      </c>
      <c r="N97" s="26"/>
      <c r="O97" s="26"/>
      <c r="P97" s="26"/>
      <c r="Q97" s="26"/>
      <c r="R97" s="24" t="str">
        <f t="shared" si="14"/>
        <v/>
      </c>
    </row>
    <row r="98" spans="1:18" x14ac:dyDescent="0.3">
      <c r="A98" s="21"/>
      <c r="B98" s="21"/>
      <c r="C98" s="21"/>
      <c r="D98" s="21"/>
      <c r="E98" s="31" t="str">
        <f t="shared" si="19"/>
        <v/>
      </c>
      <c r="F98" s="24" t="str">
        <f t="shared" si="11"/>
        <v/>
      </c>
      <c r="G98" s="24" t="str">
        <f>IF(SUM($H$5:H97)&lt;1,C98,"")</f>
        <v/>
      </c>
      <c r="H98" s="24">
        <f t="shared" si="12"/>
        <v>1</v>
      </c>
      <c r="I98" s="24">
        <f t="shared" si="13"/>
        <v>0</v>
      </c>
      <c r="J98" s="24" t="e">
        <f t="shared" si="15"/>
        <v>#N/A</v>
      </c>
      <c r="K98" s="24" t="e">
        <f t="shared" si="16"/>
        <v>#N/A</v>
      </c>
      <c r="L98" s="25" t="str">
        <f t="shared" si="17"/>
        <v/>
      </c>
      <c r="M98" s="26">
        <f t="shared" si="18"/>
        <v>1</v>
      </c>
      <c r="N98" s="26"/>
      <c r="O98" s="26"/>
      <c r="P98" s="26"/>
      <c r="Q98" s="26"/>
      <c r="R98" s="24" t="str">
        <f t="shared" si="14"/>
        <v/>
      </c>
    </row>
    <row r="99" spans="1:18" x14ac:dyDescent="0.3">
      <c r="A99" s="21"/>
      <c r="B99" s="21"/>
      <c r="C99" s="21"/>
      <c r="D99" s="21"/>
      <c r="E99" s="31" t="str">
        <f t="shared" si="19"/>
        <v/>
      </c>
      <c r="F99" s="24" t="str">
        <f t="shared" si="11"/>
        <v/>
      </c>
      <c r="G99" s="24" t="str">
        <f>IF(SUM($H$5:H98)&lt;1,C99,"")</f>
        <v/>
      </c>
      <c r="H99" s="24">
        <f t="shared" si="12"/>
        <v>1</v>
      </c>
      <c r="I99" s="24">
        <f t="shared" si="13"/>
        <v>0</v>
      </c>
      <c r="J99" s="24" t="e">
        <f t="shared" si="15"/>
        <v>#N/A</v>
      </c>
      <c r="K99" s="24" t="e">
        <f t="shared" si="16"/>
        <v>#N/A</v>
      </c>
      <c r="L99" s="25" t="str">
        <f t="shared" si="17"/>
        <v/>
      </c>
      <c r="M99" s="26">
        <f t="shared" si="18"/>
        <v>1</v>
      </c>
      <c r="N99" s="26"/>
      <c r="O99" s="26"/>
      <c r="P99" s="26"/>
      <c r="Q99" s="26"/>
      <c r="R99" s="24" t="str">
        <f t="shared" si="14"/>
        <v/>
      </c>
    </row>
    <row r="100" spans="1:18" x14ac:dyDescent="0.3">
      <c r="A100" s="21"/>
      <c r="B100" s="21"/>
      <c r="C100" s="21"/>
      <c r="D100" s="21"/>
      <c r="E100" s="31" t="str">
        <f t="shared" si="19"/>
        <v/>
      </c>
      <c r="F100" s="24" t="str">
        <f t="shared" si="11"/>
        <v/>
      </c>
      <c r="G100" s="24" t="str">
        <f>IF(SUM($H$5:H99)&lt;1,C100,"")</f>
        <v/>
      </c>
      <c r="H100" s="24">
        <f t="shared" si="12"/>
        <v>1</v>
      </c>
      <c r="I100" s="24">
        <f t="shared" si="13"/>
        <v>0</v>
      </c>
      <c r="J100" s="24" t="e">
        <f t="shared" si="15"/>
        <v>#N/A</v>
      </c>
      <c r="K100" s="24" t="e">
        <f t="shared" si="16"/>
        <v>#N/A</v>
      </c>
      <c r="L100" s="25" t="str">
        <f t="shared" si="17"/>
        <v/>
      </c>
      <c r="M100" s="26">
        <f t="shared" si="18"/>
        <v>1</v>
      </c>
      <c r="N100" s="26"/>
      <c r="O100" s="26"/>
      <c r="P100" s="26"/>
      <c r="Q100" s="26"/>
      <c r="R100" s="24" t="str">
        <f t="shared" si="14"/>
        <v/>
      </c>
    </row>
    <row r="101" spans="1:18" x14ac:dyDescent="0.3">
      <c r="A101" s="21"/>
      <c r="B101" s="21"/>
      <c r="C101" s="21"/>
      <c r="D101" s="21"/>
      <c r="E101" s="31" t="str">
        <f t="shared" si="19"/>
        <v/>
      </c>
      <c r="F101" s="24" t="str">
        <f t="shared" si="11"/>
        <v/>
      </c>
      <c r="G101" s="24" t="str">
        <f>IF(SUM($H$5:H100)&lt;1,C101,"")</f>
        <v/>
      </c>
      <c r="H101" s="24">
        <f t="shared" si="12"/>
        <v>1</v>
      </c>
      <c r="I101" s="24">
        <f t="shared" si="13"/>
        <v>0</v>
      </c>
      <c r="J101" s="24" t="e">
        <f t="shared" si="15"/>
        <v>#N/A</v>
      </c>
      <c r="K101" s="24" t="e">
        <f t="shared" si="16"/>
        <v>#N/A</v>
      </c>
      <c r="L101" s="25" t="str">
        <f t="shared" si="17"/>
        <v/>
      </c>
      <c r="M101" s="26">
        <f t="shared" si="18"/>
        <v>1</v>
      </c>
      <c r="N101" s="26"/>
      <c r="O101" s="26"/>
      <c r="P101" s="26"/>
      <c r="Q101" s="26"/>
      <c r="R101" s="24" t="str">
        <f t="shared" si="14"/>
        <v/>
      </c>
    </row>
    <row r="102" spans="1:18" x14ac:dyDescent="0.3">
      <c r="A102" s="21"/>
      <c r="B102" s="21"/>
      <c r="C102" s="21"/>
      <c r="D102" s="21"/>
      <c r="E102" s="31" t="str">
        <f t="shared" si="19"/>
        <v/>
      </c>
      <c r="F102" s="24" t="str">
        <f t="shared" si="11"/>
        <v/>
      </c>
      <c r="G102" s="24" t="str">
        <f>IF(SUM($H$5:H101)&lt;1,C102,"")</f>
        <v/>
      </c>
      <c r="H102" s="24">
        <f t="shared" si="12"/>
        <v>1</v>
      </c>
      <c r="I102" s="24">
        <f t="shared" si="13"/>
        <v>0</v>
      </c>
      <c r="J102" s="24" t="e">
        <f t="shared" si="15"/>
        <v>#N/A</v>
      </c>
      <c r="K102" s="24" t="e">
        <f t="shared" si="16"/>
        <v>#N/A</v>
      </c>
      <c r="L102" s="25" t="str">
        <f t="shared" si="17"/>
        <v/>
      </c>
      <c r="M102" s="26">
        <f t="shared" si="18"/>
        <v>1</v>
      </c>
      <c r="N102" s="26"/>
      <c r="O102" s="26"/>
      <c r="P102" s="26"/>
      <c r="Q102" s="26"/>
      <c r="R102" s="24" t="str">
        <f t="shared" si="14"/>
        <v/>
      </c>
    </row>
    <row r="103" spans="1:18" x14ac:dyDescent="0.3">
      <c r="A103" s="21"/>
      <c r="B103" s="21"/>
      <c r="C103" s="21"/>
      <c r="D103" s="21"/>
      <c r="E103" s="31" t="str">
        <f t="shared" si="19"/>
        <v/>
      </c>
      <c r="F103" s="24" t="str">
        <f t="shared" si="11"/>
        <v/>
      </c>
      <c r="G103" s="24" t="str">
        <f>IF(SUM($H$5:H102)&lt;1,C103,"")</f>
        <v/>
      </c>
      <c r="H103" s="24">
        <f t="shared" si="12"/>
        <v>1</v>
      </c>
      <c r="I103" s="24">
        <f t="shared" si="13"/>
        <v>0</v>
      </c>
      <c r="J103" s="24" t="e">
        <f t="shared" si="15"/>
        <v>#N/A</v>
      </c>
      <c r="K103" s="24" t="e">
        <f t="shared" si="16"/>
        <v>#N/A</v>
      </c>
      <c r="L103" s="25" t="str">
        <f t="shared" si="17"/>
        <v/>
      </c>
      <c r="M103" s="26">
        <f t="shared" si="18"/>
        <v>1</v>
      </c>
      <c r="N103" s="26"/>
      <c r="O103" s="26"/>
      <c r="P103" s="26"/>
      <c r="Q103" s="26"/>
      <c r="R103" s="24" t="str">
        <f t="shared" si="14"/>
        <v/>
      </c>
    </row>
    <row r="104" spans="1:18" x14ac:dyDescent="0.3">
      <c r="A104" s="21"/>
      <c r="B104" s="21"/>
      <c r="C104" s="21"/>
      <c r="D104" s="21"/>
      <c r="E104" s="31" t="str">
        <f t="shared" si="19"/>
        <v/>
      </c>
      <c r="F104" s="24" t="str">
        <f t="shared" si="11"/>
        <v/>
      </c>
      <c r="G104" s="24" t="str">
        <f>IF(SUM($H$5:H103)&lt;1,C104,"")</f>
        <v/>
      </c>
      <c r="H104" s="24">
        <f t="shared" si="12"/>
        <v>1</v>
      </c>
      <c r="I104" s="24">
        <f t="shared" si="13"/>
        <v>0</v>
      </c>
      <c r="J104" s="24" t="e">
        <f t="shared" si="15"/>
        <v>#N/A</v>
      </c>
      <c r="K104" s="24" t="e">
        <f t="shared" si="16"/>
        <v>#N/A</v>
      </c>
      <c r="L104" s="25" t="str">
        <f t="shared" si="17"/>
        <v/>
      </c>
      <c r="M104" s="26">
        <f t="shared" si="18"/>
        <v>1</v>
      </c>
      <c r="N104" s="26"/>
      <c r="O104" s="26"/>
      <c r="P104" s="26"/>
      <c r="Q104" s="26"/>
      <c r="R104" s="24" t="str">
        <f t="shared" si="14"/>
        <v/>
      </c>
    </row>
    <row r="105" spans="1:18" x14ac:dyDescent="0.3">
      <c r="A105" s="21"/>
      <c r="B105" s="21"/>
      <c r="C105" s="21"/>
      <c r="D105" s="21"/>
      <c r="E105" s="31" t="str">
        <f t="shared" si="19"/>
        <v/>
      </c>
      <c r="F105" s="24" t="str">
        <f t="shared" si="11"/>
        <v/>
      </c>
      <c r="G105" s="24" t="str">
        <f>IF(SUM($H$5:H104)&lt;1,C105,"")</f>
        <v/>
      </c>
      <c r="H105" s="24">
        <f t="shared" si="12"/>
        <v>1</v>
      </c>
      <c r="I105" s="24">
        <f t="shared" si="13"/>
        <v>0</v>
      </c>
      <c r="J105" s="24" t="e">
        <f t="shared" si="15"/>
        <v>#N/A</v>
      </c>
      <c r="K105" s="24" t="e">
        <f t="shared" si="16"/>
        <v>#N/A</v>
      </c>
      <c r="L105" s="25" t="str">
        <f t="shared" si="17"/>
        <v/>
      </c>
      <c r="M105" s="26">
        <f t="shared" si="18"/>
        <v>1</v>
      </c>
      <c r="N105" s="26"/>
      <c r="O105" s="26"/>
      <c r="P105" s="26"/>
      <c r="Q105" s="26"/>
      <c r="R105" s="24" t="str">
        <f t="shared" si="14"/>
        <v/>
      </c>
    </row>
  </sheetData>
  <mergeCells count="19">
    <mergeCell ref="B1:M1"/>
    <mergeCell ref="A2:D2"/>
    <mergeCell ref="E2:R2"/>
    <mergeCell ref="A3:A4"/>
    <mergeCell ref="B3:B4"/>
    <mergeCell ref="C3:C4"/>
    <mergeCell ref="D3:D4"/>
    <mergeCell ref="E3:E4"/>
    <mergeCell ref="F3:F4"/>
    <mergeCell ref="G3:G4"/>
    <mergeCell ref="U27:U28"/>
    <mergeCell ref="U39:U40"/>
    <mergeCell ref="U41:U42"/>
    <mergeCell ref="I3:I4"/>
    <mergeCell ref="J3:K3"/>
    <mergeCell ref="L3:L4"/>
    <mergeCell ref="M3:M4"/>
    <mergeCell ref="R3:R4"/>
    <mergeCell ref="T25:T2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5"/>
  <sheetViews>
    <sheetView workbookViewId="0">
      <selection activeCell="S5" sqref="S5"/>
    </sheetView>
  </sheetViews>
  <sheetFormatPr defaultColWidth="9" defaultRowHeight="16.5" x14ac:dyDescent="0.3"/>
  <cols>
    <col min="1" max="1" width="10.75" customWidth="1"/>
    <col min="2" max="3" width="10.375" style="22" customWidth="1"/>
    <col min="4" max="4" width="9.125" style="22" customWidth="1"/>
    <col min="5" max="5" width="4.875" style="32" hidden="1" customWidth="1"/>
    <col min="6" max="6" width="10.875" style="18" hidden="1" customWidth="1"/>
    <col min="7" max="7" width="12.25" style="18" hidden="1" customWidth="1"/>
    <col min="8" max="9" width="14" style="18" hidden="1" customWidth="1"/>
    <col min="10" max="10" width="0.125" style="18" hidden="1" customWidth="1"/>
    <col min="11" max="11" width="7.875" style="18" hidden="1" customWidth="1"/>
    <col min="12" max="12" width="12.375" style="17" hidden="1" customWidth="1"/>
    <col min="13" max="13" width="8.125" style="19" hidden="1" customWidth="1"/>
    <col min="14" max="14" width="10.125" style="18" hidden="1" customWidth="1"/>
    <col min="16" max="16" width="12.375" customWidth="1"/>
    <col min="17" max="17" width="15.875" customWidth="1"/>
    <col min="22" max="22" width="11.75" customWidth="1"/>
  </cols>
  <sheetData>
    <row r="1" spans="1:24" x14ac:dyDescent="0.3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24" x14ac:dyDescent="0.3">
      <c r="A2" s="89" t="s">
        <v>36</v>
      </c>
      <c r="B2" s="89"/>
      <c r="C2" s="89"/>
      <c r="D2" s="90"/>
      <c r="E2" s="84" t="s">
        <v>2</v>
      </c>
      <c r="F2" s="85"/>
      <c r="G2" s="85"/>
      <c r="H2" s="85"/>
      <c r="I2" s="85"/>
      <c r="J2" s="85"/>
      <c r="K2" s="85"/>
      <c r="L2" s="85"/>
      <c r="M2" s="85"/>
      <c r="N2" s="86"/>
      <c r="U2" s="91" t="s">
        <v>122</v>
      </c>
      <c r="V2" s="89"/>
      <c r="W2" s="89"/>
      <c r="X2" s="89"/>
    </row>
    <row r="3" spans="1:24" ht="24" customHeight="1" x14ac:dyDescent="0.3">
      <c r="A3" s="81" t="s">
        <v>112</v>
      </c>
      <c r="B3" s="81" t="s">
        <v>0</v>
      </c>
      <c r="C3" s="81" t="s">
        <v>65</v>
      </c>
      <c r="D3" s="81" t="s">
        <v>66</v>
      </c>
      <c r="E3" s="87" t="s">
        <v>24</v>
      </c>
      <c r="F3" s="73" t="s">
        <v>0</v>
      </c>
      <c r="G3" s="73" t="s">
        <v>20</v>
      </c>
      <c r="H3" s="27" t="s">
        <v>31</v>
      </c>
      <c r="I3" s="73" t="s">
        <v>32</v>
      </c>
      <c r="J3" s="71" t="s">
        <v>30</v>
      </c>
      <c r="K3" s="72"/>
      <c r="L3" s="75" t="s">
        <v>33</v>
      </c>
      <c r="M3" s="77" t="s">
        <v>34</v>
      </c>
      <c r="N3" s="79" t="s">
        <v>21</v>
      </c>
      <c r="P3" s="7"/>
      <c r="U3" s="81" t="s">
        <v>112</v>
      </c>
      <c r="V3" s="81" t="s">
        <v>0</v>
      </c>
      <c r="W3" s="81" t="s">
        <v>65</v>
      </c>
      <c r="X3" s="81" t="s">
        <v>66</v>
      </c>
    </row>
    <row r="4" spans="1:24" ht="30" customHeight="1" x14ac:dyDescent="0.3">
      <c r="A4" s="82"/>
      <c r="B4" s="82"/>
      <c r="C4" s="82"/>
      <c r="D4" s="82"/>
      <c r="E4" s="88"/>
      <c r="F4" s="74"/>
      <c r="G4" s="74"/>
      <c r="H4" s="27" t="s">
        <v>31</v>
      </c>
      <c r="I4" s="74"/>
      <c r="J4" s="27" t="s">
        <v>35</v>
      </c>
      <c r="K4" s="27" t="s">
        <v>25</v>
      </c>
      <c r="L4" s="76"/>
      <c r="M4" s="78"/>
      <c r="N4" s="80"/>
      <c r="P4" s="8"/>
      <c r="U4" s="82"/>
      <c r="V4" s="82"/>
      <c r="W4" s="82"/>
      <c r="X4" s="82"/>
    </row>
    <row r="5" spans="1:24" x14ac:dyDescent="0.25">
      <c r="A5" s="20">
        <v>2</v>
      </c>
      <c r="B5" s="20">
        <v>7.27</v>
      </c>
      <c r="C5" s="20">
        <v>1.31</v>
      </c>
      <c r="D5" s="20">
        <v>1.75</v>
      </c>
      <c r="E5" s="31">
        <v>0</v>
      </c>
      <c r="F5" s="24">
        <f t="shared" ref="F5:F68" si="0">IF(G5="","",B5)</f>
        <v>7.27</v>
      </c>
      <c r="G5" s="24">
        <f>IF(SUM($H4:H$5)&lt;1,C5,"")</f>
        <v>1.31</v>
      </c>
      <c r="H5" s="24" t="str">
        <f t="shared" ref="H5:H68" si="1">IF(MAX($C$5:$C$105)=C5,1,"")</f>
        <v/>
      </c>
      <c r="I5" s="24">
        <f t="shared" ref="I5:I68" si="2">C5^2-$C$5^2</f>
        <v>0</v>
      </c>
      <c r="J5" s="24">
        <f t="shared" ref="J5:J36" si="3">IF(AND($R$40&gt;F5,NOT(G5="")),F5,"")</f>
        <v>7.27</v>
      </c>
      <c r="K5" s="24">
        <f t="shared" ref="K5:K36" si="4">IF(AND($R$40&gt;F5,NOT(G5="")),I5,"")</f>
        <v>0</v>
      </c>
      <c r="L5" s="25">
        <f>IF(G5="","",G5*$R$6*(100/$R$5))</f>
        <v>18.39012691608853</v>
      </c>
      <c r="M5" s="26">
        <v>1</v>
      </c>
      <c r="N5" s="24">
        <f>IF(F5="","",(F5-(E5*$R$71+$R$72))*100/(MAX($F$5:$F$105)*0.9))</f>
        <v>1.1783326447603037</v>
      </c>
      <c r="Q5" s="12" t="s">
        <v>28</v>
      </c>
      <c r="R5" s="35">
        <v>88.4</v>
      </c>
      <c r="U5" s="20">
        <v>2</v>
      </c>
      <c r="V5" s="20" t="e">
        <f>B5*$R$8</f>
        <v>#N/A</v>
      </c>
      <c r="W5" s="20" t="e">
        <f t="shared" ref="W5:X20" si="5">C5*$R$8</f>
        <v>#N/A</v>
      </c>
      <c r="X5" s="20" t="e">
        <f t="shared" si="5"/>
        <v>#N/A</v>
      </c>
    </row>
    <row r="6" spans="1:24" x14ac:dyDescent="0.25">
      <c r="A6" s="20">
        <v>600</v>
      </c>
      <c r="B6" s="20">
        <v>13.26</v>
      </c>
      <c r="C6" s="20">
        <v>1.45</v>
      </c>
      <c r="D6" s="20">
        <v>1.81</v>
      </c>
      <c r="E6" s="31">
        <f>IF(F6="","",E5+1)</f>
        <v>1</v>
      </c>
      <c r="F6" s="24">
        <f t="shared" si="0"/>
        <v>13.26</v>
      </c>
      <c r="G6" s="24">
        <f>IF(SUM($H5:H$5)&lt;1,C6,"")</f>
        <v>1.45</v>
      </c>
      <c r="H6" s="24" t="str">
        <f t="shared" si="1"/>
        <v/>
      </c>
      <c r="I6" s="24">
        <f t="shared" si="2"/>
        <v>0.38639999999999985</v>
      </c>
      <c r="J6" s="24">
        <f t="shared" si="3"/>
        <v>13.26</v>
      </c>
      <c r="K6" s="24">
        <f t="shared" si="4"/>
        <v>0.38639999999999985</v>
      </c>
      <c r="L6" s="25">
        <f t="shared" ref="L6:L69" si="6">IF(G6="",L5,F6*$R$6*(100/$R$5))</f>
        <v>186.14739153231594</v>
      </c>
      <c r="M6" s="26">
        <f t="shared" ref="M6:M69" si="7">IF(G6="",M5,(F6-$F$5)/G6)</f>
        <v>4.1310344827586212</v>
      </c>
      <c r="N6" s="24">
        <f t="shared" ref="N6:N69" si="8">IF(F6="","",(F6-(E6*$R$71+$R$72))*100/(MAX($F$5:$F$105)*0.9))</f>
        <v>0.60085701847843387</v>
      </c>
      <c r="Q6" s="12" t="s">
        <v>120</v>
      </c>
      <c r="R6" s="34">
        <f>1/((MATCH(MAX(K5:K105),K5:K105)*SUMPRODUCT(J5:J105,K5:K105)-SUM(J5:J105)*SUM(K5:K105))/(MATCH(MAX(K5:K105),K5:K105)*SUMSQ(J5:J105) - SUM(J5:J105)^2))</f>
        <v>12.409826102154396</v>
      </c>
      <c r="U6" s="20">
        <v>600</v>
      </c>
      <c r="V6" s="20" t="e">
        <f t="shared" ref="V6:V69" si="9">B6*$R$8</f>
        <v>#N/A</v>
      </c>
      <c r="W6" s="20" t="e">
        <f t="shared" si="5"/>
        <v>#N/A</v>
      </c>
      <c r="X6" s="20" t="e">
        <f t="shared" si="5"/>
        <v>#N/A</v>
      </c>
    </row>
    <row r="7" spans="1:24" x14ac:dyDescent="0.25">
      <c r="A7" s="20">
        <v>1200</v>
      </c>
      <c r="B7" s="20">
        <v>20.41</v>
      </c>
      <c r="C7" s="20">
        <v>1.64</v>
      </c>
      <c r="D7" s="20">
        <v>1.95</v>
      </c>
      <c r="E7" s="31">
        <f t="shared" ref="E7:E70" si="10">IF(F7="","",E6+1)</f>
        <v>2</v>
      </c>
      <c r="F7" s="24">
        <f t="shared" si="0"/>
        <v>20.41</v>
      </c>
      <c r="G7" s="24">
        <f>IF(SUM($H$5:H6)&lt;1,C7,"")</f>
        <v>1.64</v>
      </c>
      <c r="H7" s="24" t="str">
        <f t="shared" si="1"/>
        <v/>
      </c>
      <c r="I7" s="24">
        <f t="shared" si="2"/>
        <v>0.97349999999999937</v>
      </c>
      <c r="J7" s="24">
        <f t="shared" si="3"/>
        <v>20.41</v>
      </c>
      <c r="K7" s="24">
        <f t="shared" si="4"/>
        <v>0.97349999999999937</v>
      </c>
      <c r="L7" s="25">
        <f t="shared" si="6"/>
        <v>286.52098500562357</v>
      </c>
      <c r="M7" s="26">
        <f t="shared" si="7"/>
        <v>8.0121951219512209</v>
      </c>
      <c r="N7" s="24">
        <f t="shared" si="8"/>
        <v>0.56280086523953965</v>
      </c>
      <c r="Q7" s="12" t="s">
        <v>119</v>
      </c>
      <c r="R7" t="e">
        <f>'Linearity Data'!V6</f>
        <v>#N/A</v>
      </c>
      <c r="U7" s="20">
        <v>1200</v>
      </c>
      <c r="V7" s="20" t="e">
        <f t="shared" si="9"/>
        <v>#N/A</v>
      </c>
      <c r="W7" s="20" t="e">
        <f t="shared" si="5"/>
        <v>#N/A</v>
      </c>
      <c r="X7" s="20" t="e">
        <f t="shared" si="5"/>
        <v>#N/A</v>
      </c>
    </row>
    <row r="8" spans="1:24" x14ac:dyDescent="0.25">
      <c r="A8" s="20">
        <v>1800</v>
      </c>
      <c r="B8" s="20">
        <v>27.38</v>
      </c>
      <c r="C8" s="20">
        <v>1.81</v>
      </c>
      <c r="D8" s="20">
        <v>2.14</v>
      </c>
      <c r="E8" s="31">
        <f t="shared" si="10"/>
        <v>3</v>
      </c>
      <c r="F8" s="24">
        <f t="shared" si="0"/>
        <v>27.38</v>
      </c>
      <c r="G8" s="24">
        <f>IF(SUM($H$5:H7)&lt;1,C8,"")</f>
        <v>1.81</v>
      </c>
      <c r="H8" s="24" t="str">
        <f t="shared" si="1"/>
        <v/>
      </c>
      <c r="I8" s="24">
        <f t="shared" si="2"/>
        <v>1.5599999999999998</v>
      </c>
      <c r="J8" s="24">
        <f t="shared" si="3"/>
        <v>27.38</v>
      </c>
      <c r="K8" s="24">
        <f t="shared" si="4"/>
        <v>1.5599999999999998</v>
      </c>
      <c r="L8" s="25">
        <f t="shared" si="6"/>
        <v>384.36769081107167</v>
      </c>
      <c r="M8" s="26">
        <f t="shared" si="7"/>
        <v>11.11049723756906</v>
      </c>
      <c r="N8" s="24">
        <f t="shared" si="8"/>
        <v>0.44104169032156382</v>
      </c>
      <c r="Q8" s="59" t="s">
        <v>121</v>
      </c>
      <c r="R8" t="e">
        <f>R6/R7</f>
        <v>#N/A</v>
      </c>
      <c r="U8" s="20">
        <v>1800</v>
      </c>
      <c r="V8" s="20" t="e">
        <f t="shared" si="9"/>
        <v>#N/A</v>
      </c>
      <c r="W8" s="20" t="e">
        <f t="shared" si="5"/>
        <v>#N/A</v>
      </c>
      <c r="X8" s="20" t="e">
        <f t="shared" si="5"/>
        <v>#N/A</v>
      </c>
    </row>
    <row r="9" spans="1:24" x14ac:dyDescent="0.25">
      <c r="A9" s="20">
        <v>2400</v>
      </c>
      <c r="B9" s="20">
        <v>34.06</v>
      </c>
      <c r="C9" s="20">
        <v>2.0699999999999998</v>
      </c>
      <c r="D9" s="20">
        <v>2.35</v>
      </c>
      <c r="E9" s="31">
        <f t="shared" si="10"/>
        <v>4</v>
      </c>
      <c r="F9" s="24">
        <f t="shared" si="0"/>
        <v>34.06</v>
      </c>
      <c r="G9" s="24">
        <f>IF(SUM($H$5:H8)&lt;1,C9,"")</f>
        <v>2.0699999999999998</v>
      </c>
      <c r="H9" s="24" t="str">
        <f t="shared" si="1"/>
        <v/>
      </c>
      <c r="I9" s="24">
        <f t="shared" si="2"/>
        <v>2.5687999999999995</v>
      </c>
      <c r="J9" s="24">
        <f t="shared" si="3"/>
        <v>34.06</v>
      </c>
      <c r="K9" s="24">
        <f t="shared" si="4"/>
        <v>2.5687999999999995</v>
      </c>
      <c r="L9" s="25">
        <f t="shared" si="6"/>
        <v>478.14329981830173</v>
      </c>
      <c r="M9" s="26">
        <f t="shared" si="7"/>
        <v>12.942028985507248</v>
      </c>
      <c r="N9" s="24">
        <f t="shared" si="8"/>
        <v>0.18442764714284574</v>
      </c>
      <c r="U9" s="20">
        <v>2400</v>
      </c>
      <c r="V9" s="20" t="e">
        <f t="shared" si="9"/>
        <v>#N/A</v>
      </c>
      <c r="W9" s="20" t="e">
        <f t="shared" si="5"/>
        <v>#N/A</v>
      </c>
      <c r="X9" s="20" t="e">
        <f t="shared" si="5"/>
        <v>#N/A</v>
      </c>
    </row>
    <row r="10" spans="1:24" x14ac:dyDescent="0.25">
      <c r="A10" s="20">
        <v>3000</v>
      </c>
      <c r="B10" s="20">
        <v>41.44</v>
      </c>
      <c r="C10" s="20">
        <v>2.16</v>
      </c>
      <c r="D10" s="20">
        <v>2.4300000000000002</v>
      </c>
      <c r="E10" s="31">
        <f t="shared" si="10"/>
        <v>5</v>
      </c>
      <c r="F10" s="24">
        <f t="shared" si="0"/>
        <v>41.44</v>
      </c>
      <c r="G10" s="24">
        <f>IF(SUM($H$5:H9)&lt;1,C10,"")</f>
        <v>2.16</v>
      </c>
      <c r="H10" s="24" t="str">
        <f t="shared" si="1"/>
        <v/>
      </c>
      <c r="I10" s="24">
        <f t="shared" si="2"/>
        <v>2.9495000000000005</v>
      </c>
      <c r="J10" s="24">
        <f t="shared" si="3"/>
        <v>41.44</v>
      </c>
      <c r="K10" s="24">
        <f t="shared" si="4"/>
        <v>2.9495000000000005</v>
      </c>
      <c r="L10" s="25">
        <f t="shared" si="6"/>
        <v>581.74569420054081</v>
      </c>
      <c r="M10" s="26">
        <f t="shared" si="7"/>
        <v>15.819444444444445</v>
      </c>
      <c r="N10" s="24">
        <f t="shared" si="8"/>
        <v>0.25332535493833258</v>
      </c>
      <c r="Q10" s="12" t="s">
        <v>101</v>
      </c>
      <c r="R10" s="34">
        <f>SQRT(R13)*R6</f>
        <v>14.399676893032126</v>
      </c>
      <c r="S10" t="s">
        <v>113</v>
      </c>
      <c r="U10" s="20">
        <v>3000</v>
      </c>
      <c r="V10" s="20" t="e">
        <f t="shared" si="9"/>
        <v>#N/A</v>
      </c>
      <c r="W10" s="20" t="e">
        <f t="shared" si="5"/>
        <v>#N/A</v>
      </c>
      <c r="X10" s="20" t="e">
        <f t="shared" si="5"/>
        <v>#N/A</v>
      </c>
    </row>
    <row r="11" spans="1:24" x14ac:dyDescent="0.25">
      <c r="A11" s="20">
        <v>3600</v>
      </c>
      <c r="B11" s="20">
        <v>48.68</v>
      </c>
      <c r="C11" s="20">
        <v>2.31</v>
      </c>
      <c r="D11" s="20">
        <v>2.61</v>
      </c>
      <c r="E11" s="31">
        <f t="shared" si="10"/>
        <v>6</v>
      </c>
      <c r="F11" s="24">
        <f t="shared" si="0"/>
        <v>48.68</v>
      </c>
      <c r="G11" s="24">
        <f>IF(SUM($H$5:H10)&lt;1,C11,"")</f>
        <v>2.31</v>
      </c>
      <c r="H11" s="24" t="str">
        <f t="shared" si="1"/>
        <v/>
      </c>
      <c r="I11" s="24">
        <f t="shared" si="2"/>
        <v>3.62</v>
      </c>
      <c r="J11" s="24">
        <f t="shared" si="3"/>
        <v>48.68</v>
      </c>
      <c r="K11" s="24">
        <f t="shared" si="4"/>
        <v>3.62</v>
      </c>
      <c r="L11" s="25">
        <f t="shared" si="6"/>
        <v>683.3827315077782</v>
      </c>
      <c r="M11" s="26">
        <f t="shared" si="7"/>
        <v>17.926406926406923</v>
      </c>
      <c r="N11" s="24">
        <f t="shared" si="8"/>
        <v>0.25712071253898372</v>
      </c>
      <c r="Q11" s="12" t="s">
        <v>104</v>
      </c>
      <c r="R11" s="34">
        <f>SQRT(R14-R13)*100/(R15-R16)</f>
        <v>1.1921450444458337</v>
      </c>
      <c r="S11" t="s">
        <v>114</v>
      </c>
      <c r="U11" s="20">
        <v>3600</v>
      </c>
      <c r="V11" s="20" t="e">
        <f t="shared" si="9"/>
        <v>#N/A</v>
      </c>
      <c r="W11" s="20" t="e">
        <f t="shared" si="5"/>
        <v>#N/A</v>
      </c>
      <c r="X11" s="20" t="e">
        <f t="shared" si="5"/>
        <v>#N/A</v>
      </c>
    </row>
    <row r="12" spans="1:24" x14ac:dyDescent="0.25">
      <c r="A12" s="20">
        <v>4200</v>
      </c>
      <c r="B12" s="20">
        <v>55.44</v>
      </c>
      <c r="C12" s="20">
        <v>2.41</v>
      </c>
      <c r="D12" s="20">
        <v>2.74</v>
      </c>
      <c r="E12" s="31">
        <f t="shared" si="10"/>
        <v>7</v>
      </c>
      <c r="F12" s="24">
        <f t="shared" si="0"/>
        <v>55.44</v>
      </c>
      <c r="G12" s="24">
        <f>IF(SUM($H$5:H11)&lt;1,C12,"")</f>
        <v>2.41</v>
      </c>
      <c r="H12" s="24" t="str">
        <f t="shared" si="1"/>
        <v/>
      </c>
      <c r="I12" s="24">
        <f t="shared" si="2"/>
        <v>4.0920000000000005</v>
      </c>
      <c r="J12" s="24">
        <f t="shared" si="3"/>
        <v>55.44</v>
      </c>
      <c r="K12" s="24">
        <f t="shared" si="4"/>
        <v>4.0920000000000005</v>
      </c>
      <c r="L12" s="25">
        <f t="shared" si="6"/>
        <v>778.28140170072356</v>
      </c>
      <c r="M12" s="26">
        <f t="shared" si="7"/>
        <v>19.987551867219917</v>
      </c>
      <c r="N12" s="24">
        <f t="shared" si="8"/>
        <v>3.7708012328742706E-2</v>
      </c>
      <c r="U12" s="20">
        <v>4200</v>
      </c>
      <c r="V12" s="20" t="e">
        <f t="shared" si="9"/>
        <v>#N/A</v>
      </c>
      <c r="W12" s="20" t="e">
        <f t="shared" si="5"/>
        <v>#N/A</v>
      </c>
      <c r="X12" s="20" t="e">
        <f t="shared" si="5"/>
        <v>#N/A</v>
      </c>
    </row>
    <row r="13" spans="1:24" x14ac:dyDescent="0.25">
      <c r="A13" s="20">
        <v>4800</v>
      </c>
      <c r="B13" s="20">
        <v>62.46</v>
      </c>
      <c r="C13" s="20">
        <v>2.52</v>
      </c>
      <c r="D13" s="20">
        <v>2.83</v>
      </c>
      <c r="E13" s="31">
        <f t="shared" si="10"/>
        <v>8</v>
      </c>
      <c r="F13" s="24">
        <f t="shared" si="0"/>
        <v>62.46</v>
      </c>
      <c r="G13" s="24">
        <f>IF(SUM($H$5:H12)&lt;1,C13,"")</f>
        <v>2.52</v>
      </c>
      <c r="H13" s="24" t="str">
        <f t="shared" si="1"/>
        <v/>
      </c>
      <c r="I13" s="24">
        <f t="shared" si="2"/>
        <v>4.6343000000000005</v>
      </c>
      <c r="J13" s="24">
        <f t="shared" si="3"/>
        <v>62.46</v>
      </c>
      <c r="K13" s="24">
        <f t="shared" si="4"/>
        <v>4.6343000000000005</v>
      </c>
      <c r="L13" s="25">
        <f t="shared" si="6"/>
        <v>876.83002074724391</v>
      </c>
      <c r="M13" s="26">
        <f t="shared" si="7"/>
        <v>21.900793650793648</v>
      </c>
      <c r="N13" s="24">
        <f t="shared" si="8"/>
        <v>-6.0800323233932127E-2</v>
      </c>
      <c r="Q13" s="55" t="s">
        <v>115</v>
      </c>
      <c r="R13" s="56">
        <f>D5^2-C5^2</f>
        <v>1.3463999999999998</v>
      </c>
      <c r="U13" s="20">
        <v>4800</v>
      </c>
      <c r="V13" s="20" t="e">
        <f t="shared" si="9"/>
        <v>#N/A</v>
      </c>
      <c r="W13" s="20" t="e">
        <f t="shared" si="5"/>
        <v>#N/A</v>
      </c>
      <c r="X13" s="20" t="e">
        <f t="shared" si="5"/>
        <v>#N/A</v>
      </c>
    </row>
    <row r="14" spans="1:24" x14ac:dyDescent="0.25">
      <c r="A14" s="20">
        <v>5400</v>
      </c>
      <c r="B14" s="20">
        <v>69.19</v>
      </c>
      <c r="C14" s="20">
        <v>2.66</v>
      </c>
      <c r="D14" s="20">
        <v>3.02</v>
      </c>
      <c r="E14" s="31">
        <f t="shared" si="10"/>
        <v>9</v>
      </c>
      <c r="F14" s="24">
        <f t="shared" si="0"/>
        <v>69.19</v>
      </c>
      <c r="G14" s="24">
        <f>IF(SUM($H$5:H13)&lt;1,C14,"")</f>
        <v>2.66</v>
      </c>
      <c r="H14" s="24" t="str">
        <f t="shared" si="1"/>
        <v/>
      </c>
      <c r="I14" s="24">
        <f t="shared" si="2"/>
        <v>5.3595000000000006</v>
      </c>
      <c r="J14" s="24">
        <f t="shared" si="3"/>
        <v>69.19</v>
      </c>
      <c r="K14" s="24">
        <f t="shared" si="4"/>
        <v>5.3595000000000006</v>
      </c>
      <c r="L14" s="25">
        <f t="shared" si="6"/>
        <v>971.30754299554599</v>
      </c>
      <c r="M14" s="26">
        <f t="shared" si="7"/>
        <v>23.278195488721803</v>
      </c>
      <c r="N14" s="24">
        <f t="shared" si="8"/>
        <v>-0.2941635270573541</v>
      </c>
      <c r="Q14" s="55" t="s">
        <v>116</v>
      </c>
      <c r="R14" s="55">
        <f>INDEX(D5:D105,(MATCH(MAX(F5:F105),F5:F105,0)+F5)*0.5,0)^2-INDEX(C5:C105,(MATCH(MAX(F5:F105),F5:F105,0)+F5)*0.5,0)^2</f>
        <v>3.860000000000003</v>
      </c>
      <c r="U14" s="20">
        <v>5400</v>
      </c>
      <c r="V14" s="20" t="e">
        <f t="shared" si="9"/>
        <v>#N/A</v>
      </c>
      <c r="W14" s="20" t="e">
        <f t="shared" si="5"/>
        <v>#N/A</v>
      </c>
      <c r="X14" s="20" t="e">
        <f t="shared" si="5"/>
        <v>#N/A</v>
      </c>
    </row>
    <row r="15" spans="1:24" x14ac:dyDescent="0.25">
      <c r="A15" s="20">
        <v>6000</v>
      </c>
      <c r="B15" s="20">
        <v>76.53</v>
      </c>
      <c r="C15" s="20">
        <v>2.71</v>
      </c>
      <c r="D15" s="20">
        <v>3.09</v>
      </c>
      <c r="E15" s="31">
        <f t="shared" si="10"/>
        <v>10</v>
      </c>
      <c r="F15" s="24">
        <f t="shared" si="0"/>
        <v>76.53</v>
      </c>
      <c r="G15" s="24">
        <f>IF(SUM($H$5:H14)&lt;1,C15,"")</f>
        <v>2.71</v>
      </c>
      <c r="H15" s="24" t="str">
        <f t="shared" si="1"/>
        <v/>
      </c>
      <c r="I15" s="24">
        <f t="shared" si="2"/>
        <v>5.6280000000000001</v>
      </c>
      <c r="J15" s="24">
        <f t="shared" si="3"/>
        <v>76.53</v>
      </c>
      <c r="K15" s="24">
        <f t="shared" si="4"/>
        <v>5.6280000000000001</v>
      </c>
      <c r="L15" s="25">
        <f t="shared" si="6"/>
        <v>1074.3484067849276</v>
      </c>
      <c r="M15" s="26">
        <f t="shared" si="7"/>
        <v>25.55719557195572</v>
      </c>
      <c r="N15" s="24">
        <f t="shared" si="8"/>
        <v>-0.24386649074610744</v>
      </c>
      <c r="Q15" s="55" t="s">
        <v>117</v>
      </c>
      <c r="R15" s="55">
        <f>INDEX(B5:B105,(MATCH(MAX(F5:F105),F5:F105,0)+F5)*0.5,0)</f>
        <v>140.26</v>
      </c>
      <c r="U15" s="20">
        <v>6000</v>
      </c>
      <c r="V15" s="20" t="e">
        <f t="shared" si="9"/>
        <v>#N/A</v>
      </c>
      <c r="W15" s="20" t="e">
        <f t="shared" si="5"/>
        <v>#N/A</v>
      </c>
      <c r="X15" s="20" t="e">
        <f t="shared" si="5"/>
        <v>#N/A</v>
      </c>
    </row>
    <row r="16" spans="1:24" x14ac:dyDescent="0.25">
      <c r="A16" s="20">
        <v>6600</v>
      </c>
      <c r="B16" s="20">
        <v>83.81</v>
      </c>
      <c r="C16" s="20">
        <v>2.82</v>
      </c>
      <c r="D16" s="20">
        <v>3.2</v>
      </c>
      <c r="E16" s="31">
        <f t="shared" si="10"/>
        <v>11</v>
      </c>
      <c r="F16" s="24">
        <f t="shared" si="0"/>
        <v>83.81</v>
      </c>
      <c r="G16" s="24">
        <f>IF(SUM($H$5:H15)&lt;1,C16,"")</f>
        <v>2.82</v>
      </c>
      <c r="H16" s="24" t="str">
        <f t="shared" si="1"/>
        <v/>
      </c>
      <c r="I16" s="24">
        <f t="shared" si="2"/>
        <v>6.2362999999999991</v>
      </c>
      <c r="J16" s="24">
        <f t="shared" si="3"/>
        <v>83.81</v>
      </c>
      <c r="K16" s="24">
        <f t="shared" si="4"/>
        <v>6.2362999999999991</v>
      </c>
      <c r="L16" s="25">
        <f t="shared" si="6"/>
        <v>1176.5469746850226</v>
      </c>
      <c r="M16" s="26">
        <f t="shared" si="7"/>
        <v>27.141843971631211</v>
      </c>
      <c r="N16" s="24">
        <f t="shared" si="8"/>
        <v>-0.22147046166121612</v>
      </c>
      <c r="Q16" s="55" t="s">
        <v>118</v>
      </c>
      <c r="R16" s="57">
        <f>B5</f>
        <v>7.27</v>
      </c>
      <c r="U16" s="20">
        <v>6600</v>
      </c>
      <c r="V16" s="20" t="e">
        <f t="shared" si="9"/>
        <v>#N/A</v>
      </c>
      <c r="W16" s="20" t="e">
        <f t="shared" si="5"/>
        <v>#N/A</v>
      </c>
      <c r="X16" s="20" t="e">
        <f t="shared" si="5"/>
        <v>#N/A</v>
      </c>
    </row>
    <row r="17" spans="1:24" x14ac:dyDescent="0.25">
      <c r="A17" s="20">
        <v>7200</v>
      </c>
      <c r="B17" s="20">
        <v>91</v>
      </c>
      <c r="C17" s="20">
        <v>2.94</v>
      </c>
      <c r="D17" s="20">
        <v>3.34</v>
      </c>
      <c r="E17" s="31">
        <f t="shared" si="10"/>
        <v>12</v>
      </c>
      <c r="F17" s="24">
        <f t="shared" si="0"/>
        <v>91</v>
      </c>
      <c r="G17" s="24">
        <f>IF(SUM($H$5:H16)&lt;1,C17,"")</f>
        <v>2.94</v>
      </c>
      <c r="H17" s="24" t="str">
        <f t="shared" si="1"/>
        <v/>
      </c>
      <c r="I17" s="24">
        <f t="shared" si="2"/>
        <v>6.9274999999999993</v>
      </c>
      <c r="J17" s="24">
        <f t="shared" si="3"/>
        <v>91</v>
      </c>
      <c r="K17" s="24">
        <f t="shared" si="4"/>
        <v>6.9274999999999993</v>
      </c>
      <c r="L17" s="25">
        <f t="shared" si="6"/>
        <v>1277.4820987511878</v>
      </c>
      <c r="M17" s="26">
        <f t="shared" si="7"/>
        <v>28.479591836734695</v>
      </c>
      <c r="N17" s="24">
        <f t="shared" si="8"/>
        <v>-0.2409259434158677</v>
      </c>
      <c r="U17" s="20">
        <v>7200</v>
      </c>
      <c r="V17" s="20" t="e">
        <f t="shared" si="9"/>
        <v>#N/A</v>
      </c>
      <c r="W17" s="20" t="e">
        <f t="shared" si="5"/>
        <v>#N/A</v>
      </c>
      <c r="X17" s="20" t="e">
        <f t="shared" si="5"/>
        <v>#N/A</v>
      </c>
    </row>
    <row r="18" spans="1:24" x14ac:dyDescent="0.25">
      <c r="A18" s="20">
        <v>7800</v>
      </c>
      <c r="B18" s="20">
        <v>98</v>
      </c>
      <c r="C18" s="20">
        <v>3.07</v>
      </c>
      <c r="D18" s="20">
        <v>3.49</v>
      </c>
      <c r="E18" s="31">
        <f t="shared" si="10"/>
        <v>13</v>
      </c>
      <c r="F18" s="24">
        <f t="shared" si="0"/>
        <v>98</v>
      </c>
      <c r="G18" s="24">
        <f>IF(SUM($H$5:H17)&lt;1,C18,"")</f>
        <v>3.07</v>
      </c>
      <c r="H18" s="24" t="str">
        <f t="shared" si="1"/>
        <v/>
      </c>
      <c r="I18" s="24">
        <f t="shared" si="2"/>
        <v>7.7087999999999992</v>
      </c>
      <c r="J18" s="24">
        <f t="shared" si="3"/>
        <v>98</v>
      </c>
      <c r="K18" s="24">
        <f t="shared" si="4"/>
        <v>7.7087999999999992</v>
      </c>
      <c r="L18" s="25">
        <f t="shared" si="6"/>
        <v>1375.749952501279</v>
      </c>
      <c r="M18" s="26">
        <f t="shared" si="7"/>
        <v>29.553745928338763</v>
      </c>
      <c r="N18" s="24">
        <f t="shared" si="8"/>
        <v>-0.34873461472066758</v>
      </c>
      <c r="U18" s="20">
        <v>7800</v>
      </c>
      <c r="V18" s="20" t="e">
        <f t="shared" si="9"/>
        <v>#N/A</v>
      </c>
      <c r="W18" s="20" t="e">
        <f t="shared" si="5"/>
        <v>#N/A</v>
      </c>
      <c r="X18" s="20" t="e">
        <f t="shared" si="5"/>
        <v>#N/A</v>
      </c>
    </row>
    <row r="19" spans="1:24" x14ac:dyDescent="0.25">
      <c r="A19" s="20">
        <v>8400</v>
      </c>
      <c r="B19" s="20">
        <v>105.17</v>
      </c>
      <c r="C19" s="20">
        <v>3.16</v>
      </c>
      <c r="D19" s="20">
        <v>3.57</v>
      </c>
      <c r="E19" s="31">
        <f t="shared" si="10"/>
        <v>14</v>
      </c>
      <c r="F19" s="24">
        <f t="shared" si="0"/>
        <v>105.17</v>
      </c>
      <c r="G19" s="24">
        <f>IF(SUM($H$5:H18)&lt;1,C19,"")</f>
        <v>3.16</v>
      </c>
      <c r="H19" s="24" t="str">
        <f t="shared" si="1"/>
        <v/>
      </c>
      <c r="I19" s="24">
        <f t="shared" si="2"/>
        <v>8.2695000000000007</v>
      </c>
      <c r="J19" s="24">
        <f t="shared" si="3"/>
        <v>105.17</v>
      </c>
      <c r="K19" s="24">
        <f t="shared" si="4"/>
        <v>8.2695000000000007</v>
      </c>
      <c r="L19" s="25">
        <f t="shared" si="6"/>
        <v>1476.4043112710158</v>
      </c>
      <c r="M19" s="26">
        <f t="shared" si="7"/>
        <v>30.981012658227847</v>
      </c>
      <c r="N19" s="24">
        <f t="shared" si="8"/>
        <v>-0.37749043221743761</v>
      </c>
      <c r="U19" s="20">
        <v>8400</v>
      </c>
      <c r="V19" s="20" t="e">
        <f t="shared" si="9"/>
        <v>#N/A</v>
      </c>
      <c r="W19" s="20" t="e">
        <f t="shared" si="5"/>
        <v>#N/A</v>
      </c>
      <c r="X19" s="20" t="e">
        <f t="shared" si="5"/>
        <v>#N/A</v>
      </c>
    </row>
    <row r="20" spans="1:24" x14ac:dyDescent="0.25">
      <c r="A20" s="20">
        <v>9000</v>
      </c>
      <c r="B20" s="20">
        <v>112.1</v>
      </c>
      <c r="C20" s="20">
        <v>3.21</v>
      </c>
      <c r="D20" s="20">
        <v>3.67</v>
      </c>
      <c r="E20" s="31">
        <f t="shared" si="10"/>
        <v>15</v>
      </c>
      <c r="F20" s="24">
        <f t="shared" si="0"/>
        <v>112.1</v>
      </c>
      <c r="G20" s="24">
        <f>IF(SUM($H$5:H19)&lt;1,C20,"")</f>
        <v>3.21</v>
      </c>
      <c r="H20" s="24" t="str">
        <f t="shared" si="1"/>
        <v/>
      </c>
      <c r="I20" s="24">
        <f t="shared" si="2"/>
        <v>8.5879999999999992</v>
      </c>
      <c r="J20" s="24">
        <f t="shared" si="3"/>
        <v>112.1</v>
      </c>
      <c r="K20" s="24">
        <f t="shared" si="4"/>
        <v>8.5879999999999992</v>
      </c>
      <c r="L20" s="25">
        <f t="shared" si="6"/>
        <v>1573.6894864836061</v>
      </c>
      <c r="M20" s="26">
        <f t="shared" si="7"/>
        <v>32.657320872274141</v>
      </c>
      <c r="N20" s="24">
        <f t="shared" si="8"/>
        <v>-0.51785027861966193</v>
      </c>
      <c r="U20" s="20">
        <v>9000</v>
      </c>
      <c r="V20" s="20" t="e">
        <f t="shared" si="9"/>
        <v>#N/A</v>
      </c>
      <c r="W20" s="20" t="e">
        <f t="shared" si="5"/>
        <v>#N/A</v>
      </c>
      <c r="X20" s="20" t="e">
        <f t="shared" si="5"/>
        <v>#N/A</v>
      </c>
    </row>
    <row r="21" spans="1:24" x14ac:dyDescent="0.25">
      <c r="A21" s="20">
        <v>9600</v>
      </c>
      <c r="B21" s="20">
        <v>119</v>
      </c>
      <c r="C21" s="20">
        <v>3.29</v>
      </c>
      <c r="D21" s="20">
        <v>3.78</v>
      </c>
      <c r="E21" s="31">
        <f t="shared" si="10"/>
        <v>16</v>
      </c>
      <c r="F21" s="24">
        <f t="shared" si="0"/>
        <v>119</v>
      </c>
      <c r="G21" s="24">
        <f>IF(SUM($H$5:H20)&lt;1,C21,"")</f>
        <v>3.29</v>
      </c>
      <c r="H21" s="24" t="str">
        <f t="shared" si="1"/>
        <v/>
      </c>
      <c r="I21" s="24">
        <f t="shared" si="2"/>
        <v>9.1079999999999988</v>
      </c>
      <c r="J21" s="24">
        <f t="shared" si="3"/>
        <v>119</v>
      </c>
      <c r="K21" s="24">
        <f t="shared" si="4"/>
        <v>9.1079999999999988</v>
      </c>
      <c r="L21" s="25">
        <f t="shared" si="6"/>
        <v>1670.5535137515533</v>
      </c>
      <c r="M21" s="26">
        <f t="shared" si="7"/>
        <v>33.960486322188451</v>
      </c>
      <c r="N21" s="24">
        <f t="shared" si="8"/>
        <v>-0.67216062863505399</v>
      </c>
      <c r="U21" s="20">
        <v>9600</v>
      </c>
      <c r="V21" s="20" t="e">
        <f t="shared" si="9"/>
        <v>#N/A</v>
      </c>
      <c r="W21" s="20" t="e">
        <f t="shared" ref="W21:W84" si="11">C21*$R$8</f>
        <v>#N/A</v>
      </c>
      <c r="X21" s="20" t="e">
        <f t="shared" ref="X21:X84" si="12">D21*$R$8</f>
        <v>#N/A</v>
      </c>
    </row>
    <row r="22" spans="1:24" x14ac:dyDescent="0.25">
      <c r="A22" s="20">
        <v>10200</v>
      </c>
      <c r="B22" s="20">
        <v>126.46</v>
      </c>
      <c r="C22" s="20">
        <v>3.34</v>
      </c>
      <c r="D22" s="20">
        <v>3.87</v>
      </c>
      <c r="E22" s="31">
        <f t="shared" si="10"/>
        <v>17</v>
      </c>
      <c r="F22" s="24">
        <f t="shared" si="0"/>
        <v>126.46</v>
      </c>
      <c r="G22" s="24">
        <f>IF(SUM($H$5:H21)&lt;1,C22,"")</f>
        <v>3.34</v>
      </c>
      <c r="H22" s="24" t="str">
        <f t="shared" si="1"/>
        <v/>
      </c>
      <c r="I22" s="24">
        <f t="shared" si="2"/>
        <v>9.4394999999999989</v>
      </c>
      <c r="J22" s="24">
        <f t="shared" si="3"/>
        <v>126.46</v>
      </c>
      <c r="K22" s="24">
        <f t="shared" si="4"/>
        <v>9.4394999999999989</v>
      </c>
      <c r="L22" s="25">
        <f t="shared" si="6"/>
        <v>1775.2789693195077</v>
      </c>
      <c r="M22" s="26">
        <f t="shared" si="7"/>
        <v>35.685628742514972</v>
      </c>
      <c r="N22" s="24">
        <f t="shared" si="8"/>
        <v>-0.56606157787108347</v>
      </c>
      <c r="U22" s="20">
        <v>10200</v>
      </c>
      <c r="V22" s="20" t="e">
        <f t="shared" si="9"/>
        <v>#N/A</v>
      </c>
      <c r="W22" s="20" t="e">
        <f t="shared" si="11"/>
        <v>#N/A</v>
      </c>
      <c r="X22" s="20" t="e">
        <f t="shared" si="12"/>
        <v>#N/A</v>
      </c>
    </row>
    <row r="23" spans="1:24" x14ac:dyDescent="0.25">
      <c r="A23" s="20">
        <v>10800</v>
      </c>
      <c r="B23" s="20">
        <v>133.38999999999999</v>
      </c>
      <c r="C23" s="20">
        <v>3.44</v>
      </c>
      <c r="D23" s="20">
        <v>3.98</v>
      </c>
      <c r="E23" s="31">
        <f t="shared" si="10"/>
        <v>18</v>
      </c>
      <c r="F23" s="24">
        <f t="shared" si="0"/>
        <v>133.38999999999999</v>
      </c>
      <c r="G23" s="24">
        <f>IF(SUM($H$5:H22)&lt;1,C23,"")</f>
        <v>3.44</v>
      </c>
      <c r="H23" s="24" t="str">
        <f t="shared" si="1"/>
        <v/>
      </c>
      <c r="I23" s="24">
        <f t="shared" si="2"/>
        <v>10.117499999999998</v>
      </c>
      <c r="J23" s="24">
        <f t="shared" si="3"/>
        <v>133.38999999999999</v>
      </c>
      <c r="K23" s="24">
        <f t="shared" si="4"/>
        <v>10.117499999999998</v>
      </c>
      <c r="L23" s="25">
        <f t="shared" si="6"/>
        <v>1872.564144532098</v>
      </c>
      <c r="M23" s="26">
        <f t="shared" si="7"/>
        <v>36.662790697674417</v>
      </c>
      <c r="N23" s="24">
        <f t="shared" si="8"/>
        <v>-0.70642142427330123</v>
      </c>
      <c r="U23" s="20">
        <v>10800</v>
      </c>
      <c r="V23" s="20" t="e">
        <f t="shared" si="9"/>
        <v>#N/A</v>
      </c>
      <c r="W23" s="20" t="e">
        <f t="shared" si="11"/>
        <v>#N/A</v>
      </c>
      <c r="X23" s="20" t="e">
        <f t="shared" si="12"/>
        <v>#N/A</v>
      </c>
    </row>
    <row r="24" spans="1:24" x14ac:dyDescent="0.25">
      <c r="A24" s="20">
        <v>11400</v>
      </c>
      <c r="B24" s="20">
        <v>140.26</v>
      </c>
      <c r="C24" s="20">
        <v>3.61</v>
      </c>
      <c r="D24" s="20">
        <v>4.1100000000000003</v>
      </c>
      <c r="E24" s="31">
        <f t="shared" si="10"/>
        <v>19</v>
      </c>
      <c r="F24" s="24">
        <f t="shared" si="0"/>
        <v>140.26</v>
      </c>
      <c r="G24" s="24">
        <f>IF(SUM($H$5:H23)&lt;1,C24,"")</f>
        <v>3.61</v>
      </c>
      <c r="H24" s="24" t="str">
        <f t="shared" si="1"/>
        <v/>
      </c>
      <c r="I24" s="24">
        <f t="shared" si="2"/>
        <v>11.315999999999999</v>
      </c>
      <c r="J24" s="24">
        <f t="shared" si="3"/>
        <v>140.26</v>
      </c>
      <c r="K24" s="24">
        <f t="shared" si="4"/>
        <v>11.315999999999999</v>
      </c>
      <c r="L24" s="25">
        <f t="shared" si="6"/>
        <v>1969.0070238554019</v>
      </c>
      <c r="M24" s="26">
        <f t="shared" si="7"/>
        <v>36.8393351800554</v>
      </c>
      <c r="N24" s="24">
        <f t="shared" si="8"/>
        <v>-0.87468227790188757</v>
      </c>
      <c r="Q24" s="14" t="s">
        <v>16</v>
      </c>
      <c r="R24" s="28" t="s">
        <v>13</v>
      </c>
      <c r="S24" s="28" t="s">
        <v>14</v>
      </c>
      <c r="U24" s="20">
        <v>11400</v>
      </c>
      <c r="V24" s="20" t="e">
        <f t="shared" si="9"/>
        <v>#N/A</v>
      </c>
      <c r="W24" s="20" t="e">
        <f t="shared" si="11"/>
        <v>#N/A</v>
      </c>
      <c r="X24" s="20" t="e">
        <f t="shared" si="12"/>
        <v>#N/A</v>
      </c>
    </row>
    <row r="25" spans="1:24" x14ac:dyDescent="0.25">
      <c r="A25" s="20">
        <v>12000</v>
      </c>
      <c r="B25" s="20">
        <v>148.22</v>
      </c>
      <c r="C25" s="23">
        <v>3.6</v>
      </c>
      <c r="D25" s="23">
        <v>4.2</v>
      </c>
      <c r="E25" s="31">
        <f t="shared" si="10"/>
        <v>20</v>
      </c>
      <c r="F25" s="24">
        <f t="shared" si="0"/>
        <v>148.22</v>
      </c>
      <c r="G25" s="24">
        <f>IF(SUM($H$5:H24)&lt;1,C25,"")</f>
        <v>3.6</v>
      </c>
      <c r="H25" s="24" t="str">
        <f t="shared" si="1"/>
        <v/>
      </c>
      <c r="I25" s="24">
        <f t="shared" si="2"/>
        <v>11.2439</v>
      </c>
      <c r="J25" s="24">
        <f t="shared" si="3"/>
        <v>148.22</v>
      </c>
      <c r="K25" s="24">
        <f t="shared" si="4"/>
        <v>11.2439</v>
      </c>
      <c r="L25" s="25">
        <f t="shared" si="6"/>
        <v>2080.7516118340773</v>
      </c>
      <c r="M25" s="26">
        <f t="shared" si="7"/>
        <v>39.152777777777771</v>
      </c>
      <c r="N25" s="24">
        <f t="shared" si="8"/>
        <v>-0.53607483358490315</v>
      </c>
      <c r="P25" s="70"/>
      <c r="Q25" s="12" t="s">
        <v>15</v>
      </c>
      <c r="R25" s="29">
        <f>MIN(L4:L104)</f>
        <v>18.39012691608853</v>
      </c>
      <c r="S25" s="29">
        <f>MIN(M4:M104)</f>
        <v>1</v>
      </c>
      <c r="U25" s="20">
        <v>12000</v>
      </c>
      <c r="V25" s="20" t="e">
        <f t="shared" si="9"/>
        <v>#N/A</v>
      </c>
      <c r="W25" s="20" t="e">
        <f t="shared" si="11"/>
        <v>#N/A</v>
      </c>
      <c r="X25" s="20" t="e">
        <f t="shared" si="12"/>
        <v>#N/A</v>
      </c>
    </row>
    <row r="26" spans="1:24" x14ac:dyDescent="0.25">
      <c r="A26" s="20">
        <v>12600</v>
      </c>
      <c r="B26" s="20">
        <v>155.03</v>
      </c>
      <c r="C26" s="21">
        <v>3.67</v>
      </c>
      <c r="D26" s="21">
        <v>4.28</v>
      </c>
      <c r="E26" s="31">
        <f t="shared" si="10"/>
        <v>21</v>
      </c>
      <c r="F26" s="24">
        <f t="shared" si="0"/>
        <v>155.03</v>
      </c>
      <c r="G26" s="24">
        <f>IF(SUM($H$5:H25)&lt;1,C26,"")</f>
        <v>3.67</v>
      </c>
      <c r="H26" s="24" t="str">
        <f t="shared" si="1"/>
        <v/>
      </c>
      <c r="I26" s="24">
        <f t="shared" si="2"/>
        <v>11.752799999999999</v>
      </c>
      <c r="J26" s="24">
        <f t="shared" si="3"/>
        <v>155.03</v>
      </c>
      <c r="K26" s="24">
        <f t="shared" si="4"/>
        <v>11.752799999999999</v>
      </c>
      <c r="L26" s="25">
        <f t="shared" si="6"/>
        <v>2176.3521952680949</v>
      </c>
      <c r="M26" s="26">
        <f t="shared" si="7"/>
        <v>40.26158038147139</v>
      </c>
      <c r="N26" s="24">
        <f t="shared" si="8"/>
        <v>-0.73223669443983808</v>
      </c>
      <c r="P26" s="70"/>
      <c r="Q26" s="12" t="s">
        <v>22</v>
      </c>
      <c r="R26" s="29">
        <f>MAX(L6:L105)</f>
        <v>3354.3029964352618</v>
      </c>
      <c r="S26" s="29">
        <f>MAX(M6:M105)</f>
        <v>52.772209567198182</v>
      </c>
      <c r="U26" s="20">
        <v>12600</v>
      </c>
      <c r="V26" s="20" t="e">
        <f t="shared" si="9"/>
        <v>#N/A</v>
      </c>
      <c r="W26" s="20" t="e">
        <f t="shared" si="11"/>
        <v>#N/A</v>
      </c>
      <c r="X26" s="20" t="e">
        <f t="shared" si="12"/>
        <v>#N/A</v>
      </c>
    </row>
    <row r="27" spans="1:24" x14ac:dyDescent="0.25">
      <c r="A27" s="20">
        <v>13200</v>
      </c>
      <c r="B27" s="20">
        <v>162.57</v>
      </c>
      <c r="C27" s="21">
        <v>3.73</v>
      </c>
      <c r="D27" s="21">
        <v>4.4000000000000004</v>
      </c>
      <c r="E27" s="31">
        <f t="shared" si="10"/>
        <v>22</v>
      </c>
      <c r="F27" s="24">
        <f t="shared" si="0"/>
        <v>162.57</v>
      </c>
      <c r="G27" s="24">
        <f>IF(SUM($H$5:H26)&lt;1,C27,"")</f>
        <v>3.73</v>
      </c>
      <c r="H27" s="24" t="str">
        <f t="shared" si="1"/>
        <v/>
      </c>
      <c r="I27" s="24">
        <f t="shared" si="2"/>
        <v>12.1968</v>
      </c>
      <c r="J27" s="24" t="str">
        <f t="shared" si="3"/>
        <v/>
      </c>
      <c r="K27" s="24" t="str">
        <f t="shared" si="4"/>
        <v/>
      </c>
      <c r="L27" s="25">
        <f t="shared" si="6"/>
        <v>2282.2007120217645</v>
      </c>
      <c r="M27" s="26">
        <f t="shared" si="7"/>
        <v>41.635388739946379</v>
      </c>
      <c r="N27" s="24">
        <f t="shared" si="8"/>
        <v>-0.58893630070738723</v>
      </c>
      <c r="P27" s="70"/>
      <c r="Q27" s="67" t="s">
        <v>23</v>
      </c>
      <c r="R27" s="29">
        <v>1</v>
      </c>
      <c r="S27" s="29">
        <f>SQRT(R27)</f>
        <v>1</v>
      </c>
      <c r="U27" s="20">
        <v>13200</v>
      </c>
      <c r="V27" s="20" t="e">
        <f t="shared" si="9"/>
        <v>#N/A</v>
      </c>
      <c r="W27" s="20" t="e">
        <f t="shared" si="11"/>
        <v>#N/A</v>
      </c>
      <c r="X27" s="20" t="e">
        <f t="shared" si="12"/>
        <v>#N/A</v>
      </c>
    </row>
    <row r="28" spans="1:24" x14ac:dyDescent="0.25">
      <c r="A28" s="20">
        <v>13800</v>
      </c>
      <c r="B28" s="20">
        <v>170.29</v>
      </c>
      <c r="C28" s="21">
        <v>3.85</v>
      </c>
      <c r="D28" s="21">
        <v>4.54</v>
      </c>
      <c r="E28" s="31">
        <f t="shared" si="10"/>
        <v>23</v>
      </c>
      <c r="F28" s="24">
        <f t="shared" si="0"/>
        <v>170.29</v>
      </c>
      <c r="G28" s="24">
        <f>IF(SUM($H$5:H27)&lt;1,C28,"")</f>
        <v>3.85</v>
      </c>
      <c r="H28" s="24" t="str">
        <f t="shared" si="1"/>
        <v/>
      </c>
      <c r="I28" s="24">
        <f t="shared" si="2"/>
        <v>13.106400000000001</v>
      </c>
      <c r="J28" s="24" t="str">
        <f t="shared" si="3"/>
        <v/>
      </c>
      <c r="K28" s="24" t="str">
        <f t="shared" si="4"/>
        <v/>
      </c>
      <c r="L28" s="25">
        <f t="shared" si="6"/>
        <v>2390.5761164432943</v>
      </c>
      <c r="M28" s="26">
        <f t="shared" si="7"/>
        <v>42.342857142857135</v>
      </c>
      <c r="N28" s="24">
        <f t="shared" si="8"/>
        <v>-0.3619328852958506</v>
      </c>
      <c r="P28" s="70"/>
      <c r="Q28" s="67"/>
      <c r="R28" s="29">
        <v>1000000</v>
      </c>
      <c r="S28" s="29">
        <f>SQRT(R28)</f>
        <v>1000</v>
      </c>
      <c r="U28" s="20">
        <v>13800</v>
      </c>
      <c r="V28" s="20" t="e">
        <f t="shared" si="9"/>
        <v>#N/A</v>
      </c>
      <c r="W28" s="20" t="e">
        <f t="shared" si="11"/>
        <v>#N/A</v>
      </c>
      <c r="X28" s="20" t="e">
        <f t="shared" si="12"/>
        <v>#N/A</v>
      </c>
    </row>
    <row r="29" spans="1:24" x14ac:dyDescent="0.25">
      <c r="A29" s="20">
        <v>14400</v>
      </c>
      <c r="B29" s="20">
        <v>177.92</v>
      </c>
      <c r="C29" s="21">
        <v>3.87</v>
      </c>
      <c r="D29" s="21">
        <v>4.63</v>
      </c>
      <c r="E29" s="31">
        <f t="shared" si="10"/>
        <v>24</v>
      </c>
      <c r="F29" s="24">
        <f t="shared" si="0"/>
        <v>177.92</v>
      </c>
      <c r="G29" s="24">
        <f>IF(SUM($H$5:H28)&lt;1,C29,"")</f>
        <v>3.87</v>
      </c>
      <c r="H29" s="24" t="str">
        <f t="shared" si="1"/>
        <v/>
      </c>
      <c r="I29" s="24">
        <f t="shared" si="2"/>
        <v>13.2608</v>
      </c>
      <c r="J29" s="24" t="str">
        <f t="shared" si="3"/>
        <v/>
      </c>
      <c r="K29" s="24" t="str">
        <f t="shared" si="4"/>
        <v/>
      </c>
      <c r="L29" s="25">
        <f t="shared" si="6"/>
        <v>2497.6880770308935</v>
      </c>
      <c r="M29" s="26">
        <f t="shared" si="7"/>
        <v>44.095607235142111</v>
      </c>
      <c r="N29" s="24">
        <f t="shared" si="8"/>
        <v>-0.17678098072385681</v>
      </c>
      <c r="U29" s="20">
        <v>14400</v>
      </c>
      <c r="V29" s="20" t="e">
        <f t="shared" si="9"/>
        <v>#N/A</v>
      </c>
      <c r="W29" s="20" t="e">
        <f t="shared" si="11"/>
        <v>#N/A</v>
      </c>
      <c r="X29" s="20" t="e">
        <f t="shared" si="12"/>
        <v>#N/A</v>
      </c>
    </row>
    <row r="30" spans="1:24" x14ac:dyDescent="0.25">
      <c r="A30" s="20">
        <v>15000</v>
      </c>
      <c r="B30" s="20">
        <v>184.76</v>
      </c>
      <c r="C30" s="21">
        <v>3.93</v>
      </c>
      <c r="D30" s="21">
        <v>4.7300000000000004</v>
      </c>
      <c r="E30" s="31">
        <f t="shared" si="10"/>
        <v>25</v>
      </c>
      <c r="F30" s="24">
        <f t="shared" si="0"/>
        <v>184.76</v>
      </c>
      <c r="G30" s="24">
        <f>IF(SUM($H$5:H29)&lt;1,C30,"")</f>
        <v>3.93</v>
      </c>
      <c r="H30" s="24" t="str">
        <f t="shared" si="1"/>
        <v/>
      </c>
      <c r="I30" s="24">
        <f t="shared" si="2"/>
        <v>13.7288</v>
      </c>
      <c r="J30" s="24" t="str">
        <f t="shared" si="3"/>
        <v/>
      </c>
      <c r="K30" s="24" t="str">
        <f t="shared" si="4"/>
        <v/>
      </c>
      <c r="L30" s="25">
        <f t="shared" si="6"/>
        <v>2593.7098084095542</v>
      </c>
      <c r="M30" s="26">
        <f t="shared" si="7"/>
        <v>45.162849872773528</v>
      </c>
      <c r="N30" s="24">
        <f t="shared" si="8"/>
        <v>-0.35899233796562402</v>
      </c>
      <c r="U30" s="20">
        <v>15000</v>
      </c>
      <c r="V30" s="20" t="e">
        <f t="shared" si="9"/>
        <v>#N/A</v>
      </c>
      <c r="W30" s="20" t="e">
        <f t="shared" si="11"/>
        <v>#N/A</v>
      </c>
      <c r="X30" s="20" t="e">
        <f t="shared" si="12"/>
        <v>#N/A</v>
      </c>
    </row>
    <row r="31" spans="1:24" x14ac:dyDescent="0.25">
      <c r="A31" s="20">
        <v>15600</v>
      </c>
      <c r="B31" s="20">
        <v>192.96</v>
      </c>
      <c r="C31" s="21">
        <v>4.01</v>
      </c>
      <c r="D31" s="21">
        <v>4.82</v>
      </c>
      <c r="E31" s="31">
        <f t="shared" si="10"/>
        <v>26</v>
      </c>
      <c r="F31" s="24">
        <f t="shared" si="0"/>
        <v>192.96</v>
      </c>
      <c r="G31" s="24">
        <f>IF(SUM($H$5:H30)&lt;1,C31,"")</f>
        <v>4.01</v>
      </c>
      <c r="H31" s="24" t="str">
        <f t="shared" si="1"/>
        <v/>
      </c>
      <c r="I31" s="24">
        <f t="shared" si="2"/>
        <v>14.363999999999997</v>
      </c>
      <c r="J31" s="24" t="str">
        <f t="shared" si="3"/>
        <v/>
      </c>
      <c r="K31" s="24" t="str">
        <f t="shared" si="4"/>
        <v/>
      </c>
      <c r="L31" s="25">
        <f t="shared" si="6"/>
        <v>2708.8235799453755</v>
      </c>
      <c r="M31" s="26">
        <f t="shared" si="7"/>
        <v>46.306733167082299</v>
      </c>
      <c r="N31" s="24">
        <f t="shared" si="8"/>
        <v>9.1219135256808068E-2</v>
      </c>
      <c r="U31" s="20">
        <v>15600</v>
      </c>
      <c r="V31" s="20" t="e">
        <f t="shared" si="9"/>
        <v>#N/A</v>
      </c>
      <c r="W31" s="20" t="e">
        <f t="shared" si="11"/>
        <v>#N/A</v>
      </c>
      <c r="X31" s="20" t="e">
        <f t="shared" si="12"/>
        <v>#N/A</v>
      </c>
    </row>
    <row r="32" spans="1:24" x14ac:dyDescent="0.25">
      <c r="A32" s="20">
        <v>16200</v>
      </c>
      <c r="B32" s="20">
        <v>200.82</v>
      </c>
      <c r="C32" s="21">
        <v>4.1500000000000004</v>
      </c>
      <c r="D32" s="21">
        <v>4.97</v>
      </c>
      <c r="E32" s="31">
        <f t="shared" si="10"/>
        <v>27</v>
      </c>
      <c r="F32" s="24">
        <f t="shared" si="0"/>
        <v>200.82</v>
      </c>
      <c r="G32" s="24">
        <f>IF(SUM($H$5:H31)&lt;1,C32,"")</f>
        <v>4.1500000000000004</v>
      </c>
      <c r="H32" s="24" t="str">
        <f t="shared" si="1"/>
        <v/>
      </c>
      <c r="I32" s="24">
        <f t="shared" si="2"/>
        <v>15.506400000000003</v>
      </c>
      <c r="J32" s="24" t="str">
        <f t="shared" si="3"/>
        <v/>
      </c>
      <c r="K32" s="24" t="str">
        <f t="shared" si="4"/>
        <v/>
      </c>
      <c r="L32" s="25">
        <f t="shared" si="6"/>
        <v>2819.1643414419068</v>
      </c>
      <c r="M32" s="26">
        <f t="shared" si="7"/>
        <v>46.638554216867462</v>
      </c>
      <c r="N32" s="24">
        <f t="shared" si="8"/>
        <v>0.38332490086318044</v>
      </c>
      <c r="U32" s="20">
        <v>16200</v>
      </c>
      <c r="V32" s="20" t="e">
        <f t="shared" si="9"/>
        <v>#N/A</v>
      </c>
      <c r="W32" s="20" t="e">
        <f t="shared" si="11"/>
        <v>#N/A</v>
      </c>
      <c r="X32" s="20" t="e">
        <f t="shared" si="12"/>
        <v>#N/A</v>
      </c>
    </row>
    <row r="33" spans="1:24" x14ac:dyDescent="0.25">
      <c r="A33" s="20">
        <v>16800</v>
      </c>
      <c r="B33" s="20">
        <v>208.06</v>
      </c>
      <c r="C33" s="21">
        <v>4.17</v>
      </c>
      <c r="D33" s="21">
        <v>5.03</v>
      </c>
      <c r="E33" s="31">
        <f t="shared" si="10"/>
        <v>28</v>
      </c>
      <c r="F33" s="24">
        <f t="shared" si="0"/>
        <v>208.06</v>
      </c>
      <c r="G33" s="24">
        <f>IF(SUM($H$5:H32)&lt;1,C33,"")</f>
        <v>4.17</v>
      </c>
      <c r="H33" s="24" t="str">
        <f t="shared" si="1"/>
        <v/>
      </c>
      <c r="I33" s="24">
        <f t="shared" si="2"/>
        <v>15.672799999999999</v>
      </c>
      <c r="J33" s="24" t="str">
        <f t="shared" si="3"/>
        <v/>
      </c>
      <c r="K33" s="24" t="str">
        <f t="shared" si="4"/>
        <v/>
      </c>
      <c r="L33" s="25">
        <f t="shared" si="6"/>
        <v>2920.8013787491445</v>
      </c>
      <c r="M33" s="26">
        <f t="shared" si="7"/>
        <v>48.151079136690647</v>
      </c>
      <c r="N33" s="24">
        <f t="shared" si="8"/>
        <v>0.38712025846383485</v>
      </c>
      <c r="U33" s="20">
        <v>16800</v>
      </c>
      <c r="V33" s="20" t="e">
        <f t="shared" si="9"/>
        <v>#N/A</v>
      </c>
      <c r="W33" s="20" t="e">
        <f t="shared" si="11"/>
        <v>#N/A</v>
      </c>
      <c r="X33" s="20" t="e">
        <f t="shared" si="12"/>
        <v>#N/A</v>
      </c>
    </row>
    <row r="34" spans="1:24" x14ac:dyDescent="0.25">
      <c r="A34" s="20">
        <v>17400</v>
      </c>
      <c r="B34" s="20">
        <v>215.36</v>
      </c>
      <c r="C34" s="21">
        <v>4.18</v>
      </c>
      <c r="D34" s="21">
        <v>5.15</v>
      </c>
      <c r="E34" s="31">
        <f t="shared" si="10"/>
        <v>29</v>
      </c>
      <c r="F34" s="24">
        <f t="shared" si="0"/>
        <v>215.36</v>
      </c>
      <c r="G34" s="24">
        <f>IF(SUM($H$5:H33)&lt;1,C34,"")</f>
        <v>4.18</v>
      </c>
      <c r="H34" s="24" t="str">
        <f t="shared" si="1"/>
        <v/>
      </c>
      <c r="I34" s="24">
        <f t="shared" si="2"/>
        <v>15.756299999999996</v>
      </c>
      <c r="J34" s="24" t="str">
        <f t="shared" si="3"/>
        <v/>
      </c>
      <c r="K34" s="24" t="str">
        <f t="shared" si="4"/>
        <v/>
      </c>
      <c r="L34" s="25">
        <f t="shared" si="6"/>
        <v>3023.2807119456684</v>
      </c>
      <c r="M34" s="26">
        <f t="shared" si="7"/>
        <v>49.782296650717704</v>
      </c>
      <c r="N34" s="24">
        <f t="shared" si="8"/>
        <v>0.41881662329085123</v>
      </c>
      <c r="U34" s="20">
        <v>17400</v>
      </c>
      <c r="V34" s="20" t="e">
        <f t="shared" si="9"/>
        <v>#N/A</v>
      </c>
      <c r="W34" s="20" t="e">
        <f t="shared" si="11"/>
        <v>#N/A</v>
      </c>
      <c r="X34" s="20" t="e">
        <f t="shared" si="12"/>
        <v>#N/A</v>
      </c>
    </row>
    <row r="35" spans="1:24" x14ac:dyDescent="0.25">
      <c r="A35" s="20">
        <v>18000</v>
      </c>
      <c r="B35" s="20">
        <v>223.1</v>
      </c>
      <c r="C35" s="21">
        <v>4.2699999999999996</v>
      </c>
      <c r="D35" s="21">
        <v>5.23</v>
      </c>
      <c r="E35" s="31">
        <f t="shared" si="10"/>
        <v>30</v>
      </c>
      <c r="F35" s="24">
        <f t="shared" si="0"/>
        <v>223.1</v>
      </c>
      <c r="G35" s="24">
        <f>IF(SUM($H$5:H34)&lt;1,C35,"")</f>
        <v>4.2699999999999996</v>
      </c>
      <c r="H35" s="24" t="str">
        <f t="shared" si="1"/>
        <v/>
      </c>
      <c r="I35" s="24">
        <f t="shared" si="2"/>
        <v>16.516799999999996</v>
      </c>
      <c r="J35" s="24" t="str">
        <f t="shared" si="3"/>
        <v/>
      </c>
      <c r="K35" s="24" t="str">
        <f t="shared" si="4"/>
        <v/>
      </c>
      <c r="L35" s="25">
        <f t="shared" si="6"/>
        <v>3131.9368816636265</v>
      </c>
      <c r="M35" s="26">
        <f t="shared" si="7"/>
        <v>50.545667447306791</v>
      </c>
      <c r="N35" s="24">
        <f t="shared" si="8"/>
        <v>0.65512037444448656</v>
      </c>
      <c r="U35" s="20">
        <v>18000</v>
      </c>
      <c r="V35" s="20" t="e">
        <f t="shared" si="9"/>
        <v>#N/A</v>
      </c>
      <c r="W35" s="20" t="e">
        <f t="shared" si="11"/>
        <v>#N/A</v>
      </c>
      <c r="X35" s="20" t="e">
        <f t="shared" si="12"/>
        <v>#N/A</v>
      </c>
    </row>
    <row r="36" spans="1:24" x14ac:dyDescent="0.25">
      <c r="A36" s="20">
        <v>18600</v>
      </c>
      <c r="B36" s="20">
        <v>231.36</v>
      </c>
      <c r="C36" s="21">
        <v>4.34</v>
      </c>
      <c r="D36" s="21">
        <v>5.34</v>
      </c>
      <c r="E36" s="31">
        <f t="shared" si="10"/>
        <v>31</v>
      </c>
      <c r="F36" s="24">
        <f t="shared" si="0"/>
        <v>231.36</v>
      </c>
      <c r="G36" s="24">
        <f>IF(SUM($H$5:H35)&lt;1,C36,"")</f>
        <v>4.34</v>
      </c>
      <c r="H36" s="24" t="str">
        <f t="shared" si="1"/>
        <v/>
      </c>
      <c r="I36" s="24">
        <f t="shared" si="2"/>
        <v>17.119499999999999</v>
      </c>
      <c r="J36" s="24" t="str">
        <f t="shared" si="3"/>
        <v/>
      </c>
      <c r="K36" s="24" t="str">
        <f t="shared" si="4"/>
        <v/>
      </c>
      <c r="L36" s="25">
        <f t="shared" si="6"/>
        <v>3247.892949088734</v>
      </c>
      <c r="M36" s="26">
        <f t="shared" si="7"/>
        <v>51.633640552995395</v>
      </c>
      <c r="N36" s="24">
        <f t="shared" si="8"/>
        <v>1.1332328548932806</v>
      </c>
      <c r="U36" s="20">
        <v>18600</v>
      </c>
      <c r="V36" s="20" t="e">
        <f t="shared" si="9"/>
        <v>#N/A</v>
      </c>
      <c r="W36" s="20" t="e">
        <f t="shared" si="11"/>
        <v>#N/A</v>
      </c>
      <c r="X36" s="20" t="e">
        <f t="shared" si="12"/>
        <v>#N/A</v>
      </c>
    </row>
    <row r="37" spans="1:24" x14ac:dyDescent="0.25">
      <c r="A37" s="20">
        <v>19200</v>
      </c>
      <c r="B37" s="20">
        <v>238.94</v>
      </c>
      <c r="C37" s="21">
        <v>4.3899999999999997</v>
      </c>
      <c r="D37" s="21">
        <v>5.45</v>
      </c>
      <c r="E37" s="31">
        <f t="shared" si="10"/>
        <v>32</v>
      </c>
      <c r="F37" s="24">
        <f t="shared" si="0"/>
        <v>238.94</v>
      </c>
      <c r="G37" s="24">
        <f>IF(SUM($H$5:H36)&lt;1,C37,"")</f>
        <v>4.3899999999999997</v>
      </c>
      <c r="H37" s="24">
        <f t="shared" si="1"/>
        <v>1</v>
      </c>
      <c r="I37" s="24">
        <f t="shared" si="2"/>
        <v>17.555999999999997</v>
      </c>
      <c r="J37" s="24" t="str">
        <f t="shared" ref="J37:J68" si="13">IF(AND($R$40&gt;F37,NOT(G37="")),F37,"")</f>
        <v/>
      </c>
      <c r="K37" s="24" t="str">
        <f t="shared" ref="K37:K68" si="14">IF(AND($R$40&gt;F37,NOT(G37="")),I37,"")</f>
        <v/>
      </c>
      <c r="L37" s="25">
        <f t="shared" si="6"/>
        <v>3354.3029964352618</v>
      </c>
      <c r="M37" s="26">
        <f t="shared" si="7"/>
        <v>52.772209567198182</v>
      </c>
      <c r="N37" s="24">
        <f t="shared" si="8"/>
        <v>1.2951339201099683</v>
      </c>
      <c r="U37" s="20">
        <v>19200</v>
      </c>
      <c r="V37" s="20" t="e">
        <f t="shared" si="9"/>
        <v>#N/A</v>
      </c>
      <c r="W37" s="20" t="e">
        <f t="shared" si="11"/>
        <v>#N/A</v>
      </c>
      <c r="X37" s="20" t="e">
        <f t="shared" si="12"/>
        <v>#N/A</v>
      </c>
    </row>
    <row r="38" spans="1:24" x14ac:dyDescent="0.25">
      <c r="A38" s="20">
        <v>19800</v>
      </c>
      <c r="B38" s="20">
        <v>247.73</v>
      </c>
      <c r="C38" s="21">
        <v>4.26</v>
      </c>
      <c r="D38" s="21">
        <v>5.24</v>
      </c>
      <c r="E38" s="31" t="str">
        <f t="shared" si="10"/>
        <v/>
      </c>
      <c r="F38" s="24" t="str">
        <f t="shared" si="0"/>
        <v/>
      </c>
      <c r="G38" s="24" t="str">
        <f>IF(SUM($H$5:H37)&lt;1,C38,"")</f>
        <v/>
      </c>
      <c r="H38" s="24" t="str">
        <f t="shared" si="1"/>
        <v/>
      </c>
      <c r="I38" s="24">
        <f t="shared" si="2"/>
        <v>16.431499999999996</v>
      </c>
      <c r="J38" s="24" t="str">
        <f t="shared" si="13"/>
        <v/>
      </c>
      <c r="K38" s="24" t="str">
        <f t="shared" si="14"/>
        <v/>
      </c>
      <c r="L38" s="25">
        <f t="shared" si="6"/>
        <v>3354.3029964352618</v>
      </c>
      <c r="M38" s="26">
        <f t="shared" si="7"/>
        <v>52.772209567198182</v>
      </c>
      <c r="N38" s="24" t="str">
        <f t="shared" si="8"/>
        <v/>
      </c>
      <c r="Q38" s="14" t="s">
        <v>16</v>
      </c>
      <c r="R38" s="14" t="s">
        <v>11</v>
      </c>
      <c r="S38" s="14" t="s">
        <v>12</v>
      </c>
      <c r="U38" s="20">
        <v>19800</v>
      </c>
      <c r="V38" s="20" t="e">
        <f t="shared" si="9"/>
        <v>#N/A</v>
      </c>
      <c r="W38" s="20" t="e">
        <f t="shared" si="11"/>
        <v>#N/A</v>
      </c>
      <c r="X38" s="20" t="e">
        <f t="shared" si="12"/>
        <v>#N/A</v>
      </c>
    </row>
    <row r="39" spans="1:24" x14ac:dyDescent="0.25">
      <c r="A39" s="20">
        <v>20400</v>
      </c>
      <c r="B39" s="20">
        <v>253.04</v>
      </c>
      <c r="C39" s="21">
        <v>2.67</v>
      </c>
      <c r="D39" s="21">
        <v>3.28</v>
      </c>
      <c r="E39" s="31" t="str">
        <f t="shared" si="10"/>
        <v/>
      </c>
      <c r="F39" s="24" t="str">
        <f t="shared" si="0"/>
        <v/>
      </c>
      <c r="G39" s="24" t="str">
        <f>IF(SUM($H$5:H38)&lt;1,C39,"")</f>
        <v/>
      </c>
      <c r="H39" s="24" t="str">
        <f t="shared" si="1"/>
        <v/>
      </c>
      <c r="I39" s="24">
        <f t="shared" si="2"/>
        <v>5.4127999999999998</v>
      </c>
      <c r="J39" s="24" t="str">
        <f t="shared" si="13"/>
        <v/>
      </c>
      <c r="K39" s="24" t="str">
        <f t="shared" si="14"/>
        <v/>
      </c>
      <c r="L39" s="25">
        <f t="shared" si="6"/>
        <v>3354.3029964352618</v>
      </c>
      <c r="M39" s="26">
        <f t="shared" si="7"/>
        <v>52.772209567198182</v>
      </c>
      <c r="N39" s="24" t="str">
        <f t="shared" si="8"/>
        <v/>
      </c>
      <c r="Q39" s="67" t="s">
        <v>17</v>
      </c>
      <c r="R39" s="13">
        <v>0</v>
      </c>
      <c r="S39" s="13">
        <f>SQRT(R39)</f>
        <v>0</v>
      </c>
      <c r="U39" s="20">
        <v>20400</v>
      </c>
      <c r="V39" s="20" t="e">
        <f t="shared" si="9"/>
        <v>#N/A</v>
      </c>
      <c r="W39" s="20" t="e">
        <f t="shared" si="11"/>
        <v>#N/A</v>
      </c>
      <c r="X39" s="20" t="e">
        <f t="shared" si="12"/>
        <v>#N/A</v>
      </c>
    </row>
    <row r="40" spans="1:24" x14ac:dyDescent="0.25">
      <c r="A40" s="20">
        <v>21000</v>
      </c>
      <c r="B40" s="20">
        <v>254.76</v>
      </c>
      <c r="C40" s="21">
        <v>1.05</v>
      </c>
      <c r="D40" s="21">
        <v>1.1100000000000001</v>
      </c>
      <c r="E40" s="31" t="str">
        <f t="shared" si="10"/>
        <v/>
      </c>
      <c r="F40" s="24" t="str">
        <f t="shared" si="0"/>
        <v/>
      </c>
      <c r="G40" s="24" t="str">
        <f>IF(SUM($H$5:H39)&lt;1,C40,"")</f>
        <v/>
      </c>
      <c r="H40" s="24" t="str">
        <f t="shared" si="1"/>
        <v/>
      </c>
      <c r="I40" s="24">
        <f t="shared" si="2"/>
        <v>-0.61360000000000015</v>
      </c>
      <c r="J40" s="24" t="str">
        <f t="shared" si="13"/>
        <v/>
      </c>
      <c r="K40" s="24" t="str">
        <f t="shared" si="14"/>
        <v/>
      </c>
      <c r="L40" s="25">
        <f t="shared" si="6"/>
        <v>3354.3029964352618</v>
      </c>
      <c r="M40" s="26">
        <f t="shared" si="7"/>
        <v>52.772209567198182</v>
      </c>
      <c r="N40" s="24" t="str">
        <f t="shared" si="8"/>
        <v/>
      </c>
      <c r="Q40" s="67"/>
      <c r="R40" s="13">
        <f>INDEX(F5:F105,(MATCH(MAX(F5:F105),F5:F105,0))*0.7,0)</f>
        <v>162.57</v>
      </c>
      <c r="S40" s="13">
        <f>R40/R6</f>
        <v>13.100102987887734</v>
      </c>
      <c r="U40" s="20">
        <v>21000</v>
      </c>
      <c r="V40" s="20" t="e">
        <f t="shared" si="9"/>
        <v>#N/A</v>
      </c>
      <c r="W40" s="20" t="e">
        <f t="shared" si="11"/>
        <v>#N/A</v>
      </c>
      <c r="X40" s="20" t="e">
        <f t="shared" si="12"/>
        <v>#N/A</v>
      </c>
    </row>
    <row r="41" spans="1:24" x14ac:dyDescent="0.25">
      <c r="A41" s="20">
        <v>21600</v>
      </c>
      <c r="B41" s="20">
        <v>254.99</v>
      </c>
      <c r="C41" s="21">
        <v>0.16</v>
      </c>
      <c r="D41" s="21">
        <v>0.17</v>
      </c>
      <c r="E41" s="31" t="str">
        <f t="shared" si="10"/>
        <v/>
      </c>
      <c r="F41" s="24" t="str">
        <f t="shared" si="0"/>
        <v/>
      </c>
      <c r="G41" s="24" t="str">
        <f>IF(SUM($H$5:H40)&lt;1,C41,"")</f>
        <v/>
      </c>
      <c r="H41" s="24" t="str">
        <f t="shared" si="1"/>
        <v/>
      </c>
      <c r="I41" s="24">
        <f t="shared" si="2"/>
        <v>-1.6905000000000001</v>
      </c>
      <c r="J41" s="24" t="str">
        <f t="shared" si="13"/>
        <v/>
      </c>
      <c r="K41" s="24" t="str">
        <f t="shared" si="14"/>
        <v/>
      </c>
      <c r="L41" s="25">
        <f t="shared" si="6"/>
        <v>3354.3029964352618</v>
      </c>
      <c r="M41" s="26">
        <f t="shared" si="7"/>
        <v>52.772209567198182</v>
      </c>
      <c r="N41" s="24" t="str">
        <f t="shared" si="8"/>
        <v/>
      </c>
      <c r="Q41" s="68" t="s">
        <v>18</v>
      </c>
      <c r="R41" s="13">
        <f>MAX(F5:F103)</f>
        <v>238.94</v>
      </c>
      <c r="S41" s="13">
        <f>(MAX(C5:C103))^2</f>
        <v>19.272099999999998</v>
      </c>
      <c r="U41" s="20">
        <v>21600</v>
      </c>
      <c r="V41" s="20" t="e">
        <f t="shared" si="9"/>
        <v>#N/A</v>
      </c>
      <c r="W41" s="20" t="e">
        <f t="shared" si="11"/>
        <v>#N/A</v>
      </c>
      <c r="X41" s="20" t="e">
        <f t="shared" si="12"/>
        <v>#N/A</v>
      </c>
    </row>
    <row r="42" spans="1:24" x14ac:dyDescent="0.25">
      <c r="A42" s="20">
        <v>22200</v>
      </c>
      <c r="B42" s="20">
        <v>255</v>
      </c>
      <c r="C42" s="21">
        <v>0.02</v>
      </c>
      <c r="D42" s="21">
        <v>0.01</v>
      </c>
      <c r="E42" s="31" t="str">
        <f t="shared" si="10"/>
        <v/>
      </c>
      <c r="F42" s="24" t="str">
        <f t="shared" si="0"/>
        <v/>
      </c>
      <c r="G42" s="24" t="str">
        <f>IF(SUM($H$5:H41)&lt;1,C42,"")</f>
        <v/>
      </c>
      <c r="H42" s="24" t="str">
        <f t="shared" si="1"/>
        <v/>
      </c>
      <c r="I42" s="24">
        <f t="shared" si="2"/>
        <v>-1.7157000000000002</v>
      </c>
      <c r="J42" s="24" t="str">
        <f t="shared" si="13"/>
        <v/>
      </c>
      <c r="K42" s="24" t="str">
        <f t="shared" si="14"/>
        <v/>
      </c>
      <c r="L42" s="25">
        <f t="shared" si="6"/>
        <v>3354.3029964352618</v>
      </c>
      <c r="M42" s="26">
        <f t="shared" si="7"/>
        <v>52.772209567198182</v>
      </c>
      <c r="N42" s="24" t="str">
        <f t="shared" si="8"/>
        <v/>
      </c>
      <c r="Q42" s="69"/>
      <c r="R42" s="13">
        <f>MAX(F5:F103)</f>
        <v>238.94</v>
      </c>
      <c r="S42" s="13">
        <v>-1000</v>
      </c>
      <c r="U42" s="20">
        <v>22200</v>
      </c>
      <c r="V42" s="20" t="e">
        <f t="shared" si="9"/>
        <v>#N/A</v>
      </c>
      <c r="W42" s="20" t="e">
        <f t="shared" si="11"/>
        <v>#N/A</v>
      </c>
      <c r="X42" s="20" t="e">
        <f t="shared" si="12"/>
        <v>#N/A</v>
      </c>
    </row>
    <row r="43" spans="1:24" x14ac:dyDescent="0.25">
      <c r="A43" s="20">
        <v>22800</v>
      </c>
      <c r="B43" s="20">
        <v>255</v>
      </c>
      <c r="C43" s="21">
        <v>0</v>
      </c>
      <c r="D43" s="21">
        <v>0</v>
      </c>
      <c r="E43" s="31" t="str">
        <f t="shared" si="10"/>
        <v/>
      </c>
      <c r="F43" s="24" t="str">
        <f t="shared" si="0"/>
        <v/>
      </c>
      <c r="G43" s="24" t="str">
        <f>IF(SUM($H$5:H42)&lt;1,C43,"")</f>
        <v/>
      </c>
      <c r="H43" s="24" t="str">
        <f t="shared" si="1"/>
        <v/>
      </c>
      <c r="I43" s="24">
        <f t="shared" si="2"/>
        <v>-1.7161000000000002</v>
      </c>
      <c r="J43" s="24" t="str">
        <f t="shared" si="13"/>
        <v/>
      </c>
      <c r="K43" s="24" t="str">
        <f t="shared" si="14"/>
        <v/>
      </c>
      <c r="L43" s="25">
        <f t="shared" si="6"/>
        <v>3354.3029964352618</v>
      </c>
      <c r="M43" s="26">
        <f t="shared" si="7"/>
        <v>52.772209567198182</v>
      </c>
      <c r="N43" s="24" t="str">
        <f t="shared" si="8"/>
        <v/>
      </c>
      <c r="U43" s="20">
        <v>22800</v>
      </c>
      <c r="V43" s="20" t="e">
        <f t="shared" si="9"/>
        <v>#N/A</v>
      </c>
      <c r="W43" s="20" t="e">
        <f t="shared" si="11"/>
        <v>#N/A</v>
      </c>
      <c r="X43" s="20" t="e">
        <f t="shared" si="12"/>
        <v>#N/A</v>
      </c>
    </row>
    <row r="44" spans="1:24" x14ac:dyDescent="0.25">
      <c r="A44" s="20">
        <v>23400</v>
      </c>
      <c r="B44" s="20">
        <v>255</v>
      </c>
      <c r="C44" s="21">
        <v>0</v>
      </c>
      <c r="D44" s="21">
        <v>0</v>
      </c>
      <c r="E44" s="31" t="str">
        <f t="shared" si="10"/>
        <v/>
      </c>
      <c r="F44" s="24" t="str">
        <f t="shared" si="0"/>
        <v/>
      </c>
      <c r="G44" s="24" t="str">
        <f>IF(SUM($H$5:H43)&lt;1,C44,"")</f>
        <v/>
      </c>
      <c r="H44" s="24" t="str">
        <f t="shared" si="1"/>
        <v/>
      </c>
      <c r="I44" s="24">
        <f t="shared" si="2"/>
        <v>-1.7161000000000002</v>
      </c>
      <c r="J44" s="24" t="str">
        <f t="shared" si="13"/>
        <v/>
      </c>
      <c r="K44" s="24" t="str">
        <f t="shared" si="14"/>
        <v/>
      </c>
      <c r="L44" s="25">
        <f t="shared" si="6"/>
        <v>3354.3029964352618</v>
      </c>
      <c r="M44" s="26">
        <f t="shared" si="7"/>
        <v>52.772209567198182</v>
      </c>
      <c r="N44" s="24" t="str">
        <f t="shared" si="8"/>
        <v/>
      </c>
      <c r="U44" s="20">
        <v>23400</v>
      </c>
      <c r="V44" s="20" t="e">
        <f t="shared" si="9"/>
        <v>#N/A</v>
      </c>
      <c r="W44" s="20" t="e">
        <f t="shared" si="11"/>
        <v>#N/A</v>
      </c>
      <c r="X44" s="20" t="e">
        <f t="shared" si="12"/>
        <v>#N/A</v>
      </c>
    </row>
    <row r="45" spans="1:24" x14ac:dyDescent="0.25">
      <c r="A45" s="20">
        <v>24000</v>
      </c>
      <c r="B45" s="20">
        <v>255</v>
      </c>
      <c r="C45" s="21">
        <v>0</v>
      </c>
      <c r="D45" s="21">
        <v>0</v>
      </c>
      <c r="E45" s="31" t="str">
        <f t="shared" si="10"/>
        <v/>
      </c>
      <c r="F45" s="24" t="str">
        <f t="shared" si="0"/>
        <v/>
      </c>
      <c r="G45" s="24" t="str">
        <f>IF(SUM($H$5:H44)&lt;1,C45,"")</f>
        <v/>
      </c>
      <c r="H45" s="24" t="str">
        <f t="shared" si="1"/>
        <v/>
      </c>
      <c r="I45" s="24">
        <f t="shared" si="2"/>
        <v>-1.7161000000000002</v>
      </c>
      <c r="J45" s="24" t="str">
        <f t="shared" si="13"/>
        <v/>
      </c>
      <c r="K45" s="24" t="str">
        <f t="shared" si="14"/>
        <v/>
      </c>
      <c r="L45" s="25">
        <f t="shared" si="6"/>
        <v>3354.3029964352618</v>
      </c>
      <c r="M45" s="26">
        <f t="shared" si="7"/>
        <v>52.772209567198182</v>
      </c>
      <c r="N45" s="24" t="str">
        <f t="shared" si="8"/>
        <v/>
      </c>
      <c r="U45" s="20">
        <v>24000</v>
      </c>
      <c r="V45" s="20" t="e">
        <f t="shared" si="9"/>
        <v>#N/A</v>
      </c>
      <c r="W45" s="20" t="e">
        <f t="shared" si="11"/>
        <v>#N/A</v>
      </c>
      <c r="X45" s="20" t="e">
        <f t="shared" si="12"/>
        <v>#N/A</v>
      </c>
    </row>
    <row r="46" spans="1:24" x14ac:dyDescent="0.25">
      <c r="A46" s="20">
        <v>24600</v>
      </c>
      <c r="B46" s="20">
        <v>255</v>
      </c>
      <c r="C46" s="21">
        <v>0</v>
      </c>
      <c r="D46" s="21">
        <v>0</v>
      </c>
      <c r="E46" s="31" t="str">
        <f t="shared" si="10"/>
        <v/>
      </c>
      <c r="F46" s="24" t="str">
        <f t="shared" si="0"/>
        <v/>
      </c>
      <c r="G46" s="24" t="str">
        <f>IF(SUM($H$5:H45)&lt;1,C46,"")</f>
        <v/>
      </c>
      <c r="H46" s="24" t="str">
        <f t="shared" si="1"/>
        <v/>
      </c>
      <c r="I46" s="24">
        <f t="shared" si="2"/>
        <v>-1.7161000000000002</v>
      </c>
      <c r="J46" s="24" t="str">
        <f t="shared" si="13"/>
        <v/>
      </c>
      <c r="K46" s="24" t="str">
        <f t="shared" si="14"/>
        <v/>
      </c>
      <c r="L46" s="25">
        <f t="shared" si="6"/>
        <v>3354.3029964352618</v>
      </c>
      <c r="M46" s="26">
        <f t="shared" si="7"/>
        <v>52.772209567198182</v>
      </c>
      <c r="N46" s="24" t="str">
        <f t="shared" si="8"/>
        <v/>
      </c>
      <c r="U46" s="20">
        <v>24600</v>
      </c>
      <c r="V46" s="20" t="e">
        <f t="shared" si="9"/>
        <v>#N/A</v>
      </c>
      <c r="W46" s="20" t="e">
        <f t="shared" si="11"/>
        <v>#N/A</v>
      </c>
      <c r="X46" s="20" t="e">
        <f t="shared" si="12"/>
        <v>#N/A</v>
      </c>
    </row>
    <row r="47" spans="1:24" x14ac:dyDescent="0.25">
      <c r="A47" s="20">
        <v>25200</v>
      </c>
      <c r="B47" s="20">
        <v>255</v>
      </c>
      <c r="C47" s="21">
        <v>0</v>
      </c>
      <c r="D47" s="21">
        <v>0</v>
      </c>
      <c r="E47" s="31" t="str">
        <f t="shared" si="10"/>
        <v/>
      </c>
      <c r="F47" s="24" t="str">
        <f t="shared" si="0"/>
        <v/>
      </c>
      <c r="G47" s="24" t="str">
        <f>IF(SUM($H$5:H46)&lt;1,C47,"")</f>
        <v/>
      </c>
      <c r="H47" s="24" t="str">
        <f t="shared" si="1"/>
        <v/>
      </c>
      <c r="I47" s="24">
        <f t="shared" si="2"/>
        <v>-1.7161000000000002</v>
      </c>
      <c r="J47" s="24" t="str">
        <f t="shared" si="13"/>
        <v/>
      </c>
      <c r="K47" s="24" t="str">
        <f t="shared" si="14"/>
        <v/>
      </c>
      <c r="L47" s="25">
        <f t="shared" si="6"/>
        <v>3354.3029964352618</v>
      </c>
      <c r="M47" s="26">
        <f t="shared" si="7"/>
        <v>52.772209567198182</v>
      </c>
      <c r="N47" s="24" t="str">
        <f t="shared" si="8"/>
        <v/>
      </c>
      <c r="U47" s="20">
        <v>25200</v>
      </c>
      <c r="V47" s="20" t="e">
        <f t="shared" si="9"/>
        <v>#N/A</v>
      </c>
      <c r="W47" s="20" t="e">
        <f t="shared" si="11"/>
        <v>#N/A</v>
      </c>
      <c r="X47" s="20" t="e">
        <f t="shared" si="12"/>
        <v>#N/A</v>
      </c>
    </row>
    <row r="48" spans="1:24" x14ac:dyDescent="0.25">
      <c r="A48" s="20">
        <v>25800</v>
      </c>
      <c r="B48" s="20">
        <v>255</v>
      </c>
      <c r="C48" s="21">
        <v>0</v>
      </c>
      <c r="D48" s="21">
        <v>0</v>
      </c>
      <c r="E48" s="31" t="str">
        <f t="shared" si="10"/>
        <v/>
      </c>
      <c r="F48" s="24" t="str">
        <f t="shared" si="0"/>
        <v/>
      </c>
      <c r="G48" s="24" t="str">
        <f>IF(SUM($H$5:H47)&lt;1,C48,"")</f>
        <v/>
      </c>
      <c r="H48" s="24" t="str">
        <f t="shared" si="1"/>
        <v/>
      </c>
      <c r="I48" s="24">
        <f t="shared" si="2"/>
        <v>-1.7161000000000002</v>
      </c>
      <c r="J48" s="24" t="str">
        <f t="shared" si="13"/>
        <v/>
      </c>
      <c r="K48" s="24" t="str">
        <f t="shared" si="14"/>
        <v/>
      </c>
      <c r="L48" s="25">
        <f t="shared" si="6"/>
        <v>3354.3029964352618</v>
      </c>
      <c r="M48" s="26">
        <f t="shared" si="7"/>
        <v>52.772209567198182</v>
      </c>
      <c r="N48" s="24" t="str">
        <f t="shared" si="8"/>
        <v/>
      </c>
      <c r="U48" s="20">
        <v>25800</v>
      </c>
      <c r="V48" s="20" t="e">
        <f t="shared" si="9"/>
        <v>#N/A</v>
      </c>
      <c r="W48" s="20" t="e">
        <f t="shared" si="11"/>
        <v>#N/A</v>
      </c>
      <c r="X48" s="20" t="e">
        <f t="shared" si="12"/>
        <v>#N/A</v>
      </c>
    </row>
    <row r="49" spans="1:24" x14ac:dyDescent="0.25">
      <c r="A49" s="20">
        <v>26400</v>
      </c>
      <c r="B49" s="20">
        <v>255</v>
      </c>
      <c r="C49" s="21">
        <v>0</v>
      </c>
      <c r="D49" s="21">
        <v>0</v>
      </c>
      <c r="E49" s="31" t="str">
        <f t="shared" si="10"/>
        <v/>
      </c>
      <c r="F49" s="24" t="str">
        <f t="shared" si="0"/>
        <v/>
      </c>
      <c r="G49" s="24" t="str">
        <f>IF(SUM($H$5:H48)&lt;1,C49,"")</f>
        <v/>
      </c>
      <c r="H49" s="24" t="str">
        <f t="shared" si="1"/>
        <v/>
      </c>
      <c r="I49" s="24">
        <f t="shared" si="2"/>
        <v>-1.7161000000000002</v>
      </c>
      <c r="J49" s="24" t="str">
        <f t="shared" si="13"/>
        <v/>
      </c>
      <c r="K49" s="24" t="str">
        <f t="shared" si="14"/>
        <v/>
      </c>
      <c r="L49" s="25">
        <f t="shared" si="6"/>
        <v>3354.3029964352618</v>
      </c>
      <c r="M49" s="26">
        <f t="shared" si="7"/>
        <v>52.772209567198182</v>
      </c>
      <c r="N49" s="24" t="str">
        <f t="shared" si="8"/>
        <v/>
      </c>
      <c r="U49" s="20">
        <v>26400</v>
      </c>
      <c r="V49" s="20" t="e">
        <f t="shared" si="9"/>
        <v>#N/A</v>
      </c>
      <c r="W49" s="20" t="e">
        <f t="shared" si="11"/>
        <v>#N/A</v>
      </c>
      <c r="X49" s="20" t="e">
        <f t="shared" si="12"/>
        <v>#N/A</v>
      </c>
    </row>
    <row r="50" spans="1:24" x14ac:dyDescent="0.25">
      <c r="A50" s="20">
        <v>27000</v>
      </c>
      <c r="B50" s="20">
        <v>255</v>
      </c>
      <c r="C50" s="21">
        <v>0</v>
      </c>
      <c r="D50" s="21">
        <v>0</v>
      </c>
      <c r="E50" s="31" t="str">
        <f t="shared" si="10"/>
        <v/>
      </c>
      <c r="F50" s="24" t="str">
        <f t="shared" si="0"/>
        <v/>
      </c>
      <c r="G50" s="24" t="str">
        <f>IF(SUM($H$5:H49)&lt;1,C50,"")</f>
        <v/>
      </c>
      <c r="H50" s="24" t="str">
        <f t="shared" si="1"/>
        <v/>
      </c>
      <c r="I50" s="24">
        <f t="shared" si="2"/>
        <v>-1.7161000000000002</v>
      </c>
      <c r="J50" s="24" t="str">
        <f t="shared" si="13"/>
        <v/>
      </c>
      <c r="K50" s="24" t="str">
        <f t="shared" si="14"/>
        <v/>
      </c>
      <c r="L50" s="25">
        <f t="shared" si="6"/>
        <v>3354.3029964352618</v>
      </c>
      <c r="M50" s="26">
        <f t="shared" si="7"/>
        <v>52.772209567198182</v>
      </c>
      <c r="N50" s="24" t="str">
        <f t="shared" si="8"/>
        <v/>
      </c>
      <c r="U50" s="20">
        <v>27000</v>
      </c>
      <c r="V50" s="20" t="e">
        <f t="shared" si="9"/>
        <v>#N/A</v>
      </c>
      <c r="W50" s="20" t="e">
        <f t="shared" si="11"/>
        <v>#N/A</v>
      </c>
      <c r="X50" s="20" t="e">
        <f t="shared" si="12"/>
        <v>#N/A</v>
      </c>
    </row>
    <row r="51" spans="1:24" x14ac:dyDescent="0.25">
      <c r="A51" s="20">
        <v>27600</v>
      </c>
      <c r="B51" s="20">
        <v>255</v>
      </c>
      <c r="C51" s="21">
        <v>0</v>
      </c>
      <c r="D51" s="21">
        <v>0</v>
      </c>
      <c r="E51" s="31" t="str">
        <f t="shared" si="10"/>
        <v/>
      </c>
      <c r="F51" s="24" t="str">
        <f t="shared" si="0"/>
        <v/>
      </c>
      <c r="G51" s="24" t="str">
        <f>IF(SUM($H$5:H50)&lt;1,C51,"")</f>
        <v/>
      </c>
      <c r="H51" s="24" t="str">
        <f t="shared" si="1"/>
        <v/>
      </c>
      <c r="I51" s="24">
        <f t="shared" si="2"/>
        <v>-1.7161000000000002</v>
      </c>
      <c r="J51" s="24" t="str">
        <f t="shared" si="13"/>
        <v/>
      </c>
      <c r="K51" s="24" t="str">
        <f t="shared" si="14"/>
        <v/>
      </c>
      <c r="L51" s="25">
        <f t="shared" si="6"/>
        <v>3354.3029964352618</v>
      </c>
      <c r="M51" s="26">
        <f t="shared" si="7"/>
        <v>52.772209567198182</v>
      </c>
      <c r="N51" s="24" t="str">
        <f t="shared" si="8"/>
        <v/>
      </c>
      <c r="U51" s="20">
        <v>27600</v>
      </c>
      <c r="V51" s="20" t="e">
        <f t="shared" si="9"/>
        <v>#N/A</v>
      </c>
      <c r="W51" s="20" t="e">
        <f t="shared" si="11"/>
        <v>#N/A</v>
      </c>
      <c r="X51" s="20" t="e">
        <f t="shared" si="12"/>
        <v>#N/A</v>
      </c>
    </row>
    <row r="52" spans="1:24" x14ac:dyDescent="0.25">
      <c r="A52" s="20">
        <v>28200</v>
      </c>
      <c r="B52" s="20">
        <v>255</v>
      </c>
      <c r="C52" s="21">
        <v>0</v>
      </c>
      <c r="D52" s="21">
        <v>0</v>
      </c>
      <c r="E52" s="31" t="str">
        <f t="shared" si="10"/>
        <v/>
      </c>
      <c r="F52" s="24" t="str">
        <f t="shared" si="0"/>
        <v/>
      </c>
      <c r="G52" s="24" t="str">
        <f>IF(SUM($H$5:H51)&lt;1,C52,"")</f>
        <v/>
      </c>
      <c r="H52" s="24" t="str">
        <f t="shared" si="1"/>
        <v/>
      </c>
      <c r="I52" s="24">
        <f t="shared" si="2"/>
        <v>-1.7161000000000002</v>
      </c>
      <c r="J52" s="24" t="str">
        <f t="shared" si="13"/>
        <v/>
      </c>
      <c r="K52" s="24" t="str">
        <f t="shared" si="14"/>
        <v/>
      </c>
      <c r="L52" s="25">
        <f t="shared" si="6"/>
        <v>3354.3029964352618</v>
      </c>
      <c r="M52" s="26">
        <f t="shared" si="7"/>
        <v>52.772209567198182</v>
      </c>
      <c r="N52" s="24" t="str">
        <f t="shared" si="8"/>
        <v/>
      </c>
      <c r="U52" s="20">
        <v>28200</v>
      </c>
      <c r="V52" s="20" t="e">
        <f t="shared" si="9"/>
        <v>#N/A</v>
      </c>
      <c r="W52" s="20" t="e">
        <f t="shared" si="11"/>
        <v>#N/A</v>
      </c>
      <c r="X52" s="20" t="e">
        <f t="shared" si="12"/>
        <v>#N/A</v>
      </c>
    </row>
    <row r="53" spans="1:24" x14ac:dyDescent="0.25">
      <c r="A53" s="20">
        <v>28800</v>
      </c>
      <c r="B53" s="20">
        <v>255</v>
      </c>
      <c r="C53" s="21">
        <v>0</v>
      </c>
      <c r="D53" s="21">
        <v>0</v>
      </c>
      <c r="E53" s="31" t="str">
        <f t="shared" si="10"/>
        <v/>
      </c>
      <c r="F53" s="24" t="str">
        <f t="shared" si="0"/>
        <v/>
      </c>
      <c r="G53" s="24" t="str">
        <f>IF(SUM($H$5:H52)&lt;1,C53,"")</f>
        <v/>
      </c>
      <c r="H53" s="24" t="str">
        <f t="shared" si="1"/>
        <v/>
      </c>
      <c r="I53" s="24">
        <f t="shared" si="2"/>
        <v>-1.7161000000000002</v>
      </c>
      <c r="J53" s="24" t="str">
        <f t="shared" si="13"/>
        <v/>
      </c>
      <c r="K53" s="24" t="str">
        <f t="shared" si="14"/>
        <v/>
      </c>
      <c r="L53" s="25">
        <f t="shared" si="6"/>
        <v>3354.3029964352618</v>
      </c>
      <c r="M53" s="26">
        <f t="shared" si="7"/>
        <v>52.772209567198182</v>
      </c>
      <c r="N53" s="24" t="str">
        <f t="shared" si="8"/>
        <v/>
      </c>
      <c r="U53" s="20">
        <v>28800</v>
      </c>
      <c r="V53" s="20" t="e">
        <f t="shared" si="9"/>
        <v>#N/A</v>
      </c>
      <c r="W53" s="20" t="e">
        <f t="shared" si="11"/>
        <v>#N/A</v>
      </c>
      <c r="X53" s="20" t="e">
        <f t="shared" si="12"/>
        <v>#N/A</v>
      </c>
    </row>
    <row r="54" spans="1:24" x14ac:dyDescent="0.25">
      <c r="A54" s="20">
        <v>29400</v>
      </c>
      <c r="B54" s="20">
        <v>255</v>
      </c>
      <c r="C54" s="21">
        <v>0</v>
      </c>
      <c r="D54" s="21">
        <v>0</v>
      </c>
      <c r="E54" s="31" t="str">
        <f t="shared" si="10"/>
        <v/>
      </c>
      <c r="F54" s="24" t="str">
        <f t="shared" si="0"/>
        <v/>
      </c>
      <c r="G54" s="24" t="str">
        <f>IF(SUM($H$5:H53)&lt;1,C54,"")</f>
        <v/>
      </c>
      <c r="H54" s="24" t="str">
        <f t="shared" si="1"/>
        <v/>
      </c>
      <c r="I54" s="24">
        <f t="shared" si="2"/>
        <v>-1.7161000000000002</v>
      </c>
      <c r="J54" s="24" t="str">
        <f t="shared" si="13"/>
        <v/>
      </c>
      <c r="K54" s="24" t="str">
        <f t="shared" si="14"/>
        <v/>
      </c>
      <c r="L54" s="25">
        <f t="shared" si="6"/>
        <v>3354.3029964352618</v>
      </c>
      <c r="M54" s="26">
        <f t="shared" si="7"/>
        <v>52.772209567198182</v>
      </c>
      <c r="N54" s="24" t="str">
        <f t="shared" si="8"/>
        <v/>
      </c>
      <c r="U54" s="20">
        <v>29400</v>
      </c>
      <c r="V54" s="20" t="e">
        <f t="shared" si="9"/>
        <v>#N/A</v>
      </c>
      <c r="W54" s="20" t="e">
        <f t="shared" si="11"/>
        <v>#N/A</v>
      </c>
      <c r="X54" s="20" t="e">
        <f t="shared" si="12"/>
        <v>#N/A</v>
      </c>
    </row>
    <row r="55" spans="1:24" x14ac:dyDescent="0.25">
      <c r="A55" s="20">
        <v>30000</v>
      </c>
      <c r="B55" s="20">
        <v>255</v>
      </c>
      <c r="C55" s="21">
        <v>0</v>
      </c>
      <c r="D55" s="21">
        <v>0</v>
      </c>
      <c r="E55" s="31" t="str">
        <f t="shared" si="10"/>
        <v/>
      </c>
      <c r="F55" s="24" t="str">
        <f t="shared" si="0"/>
        <v/>
      </c>
      <c r="G55" s="24" t="str">
        <f>IF(SUM($H$5:H54)&lt;1,C55,"")</f>
        <v/>
      </c>
      <c r="H55" s="24" t="str">
        <f t="shared" si="1"/>
        <v/>
      </c>
      <c r="I55" s="24">
        <f t="shared" si="2"/>
        <v>-1.7161000000000002</v>
      </c>
      <c r="J55" s="24" t="str">
        <f t="shared" si="13"/>
        <v/>
      </c>
      <c r="K55" s="24" t="str">
        <f t="shared" si="14"/>
        <v/>
      </c>
      <c r="L55" s="25">
        <f t="shared" si="6"/>
        <v>3354.3029964352618</v>
      </c>
      <c r="M55" s="26">
        <f t="shared" si="7"/>
        <v>52.772209567198182</v>
      </c>
      <c r="N55" s="24" t="str">
        <f t="shared" si="8"/>
        <v/>
      </c>
      <c r="U55" s="20">
        <v>30000</v>
      </c>
      <c r="V55" s="20" t="e">
        <f t="shared" si="9"/>
        <v>#N/A</v>
      </c>
      <c r="W55" s="20" t="e">
        <f t="shared" si="11"/>
        <v>#N/A</v>
      </c>
      <c r="X55" s="20" t="e">
        <f t="shared" si="12"/>
        <v>#N/A</v>
      </c>
    </row>
    <row r="56" spans="1:24" x14ac:dyDescent="0.25">
      <c r="A56" s="21"/>
      <c r="B56" s="21"/>
      <c r="C56" s="21"/>
      <c r="D56" s="21"/>
      <c r="E56" s="31" t="str">
        <f t="shared" si="10"/>
        <v/>
      </c>
      <c r="F56" s="24" t="str">
        <f t="shared" si="0"/>
        <v/>
      </c>
      <c r="G56" s="24" t="str">
        <f>IF(SUM($H$5:H55)&lt;1,C56,"")</f>
        <v/>
      </c>
      <c r="H56" s="24" t="str">
        <f t="shared" si="1"/>
        <v/>
      </c>
      <c r="I56" s="24">
        <f t="shared" si="2"/>
        <v>-1.7161000000000002</v>
      </c>
      <c r="J56" s="24" t="str">
        <f t="shared" si="13"/>
        <v/>
      </c>
      <c r="K56" s="24" t="str">
        <f t="shared" si="14"/>
        <v/>
      </c>
      <c r="L56" s="25">
        <f t="shared" si="6"/>
        <v>3354.3029964352618</v>
      </c>
      <c r="M56" s="26">
        <f t="shared" si="7"/>
        <v>52.772209567198182</v>
      </c>
      <c r="N56" s="24" t="str">
        <f t="shared" si="8"/>
        <v/>
      </c>
      <c r="U56" s="21"/>
      <c r="V56" s="20" t="e">
        <f t="shared" si="9"/>
        <v>#N/A</v>
      </c>
      <c r="W56" s="20" t="e">
        <f t="shared" si="11"/>
        <v>#N/A</v>
      </c>
      <c r="X56" s="20" t="e">
        <f t="shared" si="12"/>
        <v>#N/A</v>
      </c>
    </row>
    <row r="57" spans="1:24" x14ac:dyDescent="0.25">
      <c r="A57" s="21"/>
      <c r="B57" s="21"/>
      <c r="C57" s="21"/>
      <c r="D57" s="21"/>
      <c r="E57" s="31" t="str">
        <f t="shared" si="10"/>
        <v/>
      </c>
      <c r="F57" s="24" t="str">
        <f t="shared" si="0"/>
        <v/>
      </c>
      <c r="G57" s="24" t="str">
        <f>IF(SUM($H$5:H56)&lt;1,C57,"")</f>
        <v/>
      </c>
      <c r="H57" s="24" t="str">
        <f t="shared" si="1"/>
        <v/>
      </c>
      <c r="I57" s="24">
        <f t="shared" si="2"/>
        <v>-1.7161000000000002</v>
      </c>
      <c r="J57" s="24" t="str">
        <f t="shared" si="13"/>
        <v/>
      </c>
      <c r="K57" s="24" t="str">
        <f t="shared" si="14"/>
        <v/>
      </c>
      <c r="L57" s="25">
        <f t="shared" si="6"/>
        <v>3354.3029964352618</v>
      </c>
      <c r="M57" s="26">
        <f t="shared" si="7"/>
        <v>52.772209567198182</v>
      </c>
      <c r="N57" s="24" t="str">
        <f t="shared" si="8"/>
        <v/>
      </c>
      <c r="U57" s="21"/>
      <c r="V57" s="20" t="e">
        <f t="shared" si="9"/>
        <v>#N/A</v>
      </c>
      <c r="W57" s="20" t="e">
        <f t="shared" si="11"/>
        <v>#N/A</v>
      </c>
      <c r="X57" s="20" t="e">
        <f t="shared" si="12"/>
        <v>#N/A</v>
      </c>
    </row>
    <row r="58" spans="1:24" x14ac:dyDescent="0.25">
      <c r="A58" s="21"/>
      <c r="B58" s="21"/>
      <c r="C58" s="21"/>
      <c r="D58" s="21"/>
      <c r="E58" s="31" t="str">
        <f t="shared" si="10"/>
        <v/>
      </c>
      <c r="F58" s="24" t="str">
        <f t="shared" si="0"/>
        <v/>
      </c>
      <c r="G58" s="24" t="str">
        <f>IF(SUM($H$5:H57)&lt;1,C58,"")</f>
        <v/>
      </c>
      <c r="H58" s="24" t="str">
        <f t="shared" si="1"/>
        <v/>
      </c>
      <c r="I58" s="24">
        <f t="shared" si="2"/>
        <v>-1.7161000000000002</v>
      </c>
      <c r="J58" s="24" t="str">
        <f t="shared" si="13"/>
        <v/>
      </c>
      <c r="K58" s="24" t="str">
        <f t="shared" si="14"/>
        <v/>
      </c>
      <c r="L58" s="25">
        <f t="shared" si="6"/>
        <v>3354.3029964352618</v>
      </c>
      <c r="M58" s="26">
        <f t="shared" si="7"/>
        <v>52.772209567198182</v>
      </c>
      <c r="N58" s="24" t="str">
        <f t="shared" si="8"/>
        <v/>
      </c>
      <c r="U58" s="21"/>
      <c r="V58" s="20" t="e">
        <f t="shared" si="9"/>
        <v>#N/A</v>
      </c>
      <c r="W58" s="20" t="e">
        <f t="shared" si="11"/>
        <v>#N/A</v>
      </c>
      <c r="X58" s="20" t="e">
        <f t="shared" si="12"/>
        <v>#N/A</v>
      </c>
    </row>
    <row r="59" spans="1:24" x14ac:dyDescent="0.25">
      <c r="A59" s="21"/>
      <c r="B59" s="21"/>
      <c r="C59" s="21"/>
      <c r="D59" s="21"/>
      <c r="E59" s="31" t="str">
        <f t="shared" si="10"/>
        <v/>
      </c>
      <c r="F59" s="24" t="str">
        <f t="shared" si="0"/>
        <v/>
      </c>
      <c r="G59" s="24" t="str">
        <f>IF(SUM($H$5:H58)&lt;1,C59,"")</f>
        <v/>
      </c>
      <c r="H59" s="24" t="str">
        <f t="shared" si="1"/>
        <v/>
      </c>
      <c r="I59" s="24">
        <f t="shared" si="2"/>
        <v>-1.7161000000000002</v>
      </c>
      <c r="J59" s="24" t="str">
        <f t="shared" si="13"/>
        <v/>
      </c>
      <c r="K59" s="24" t="str">
        <f t="shared" si="14"/>
        <v/>
      </c>
      <c r="L59" s="25">
        <f t="shared" si="6"/>
        <v>3354.3029964352618</v>
      </c>
      <c r="M59" s="26">
        <f t="shared" si="7"/>
        <v>52.772209567198182</v>
      </c>
      <c r="N59" s="24" t="str">
        <f t="shared" si="8"/>
        <v/>
      </c>
      <c r="U59" s="21"/>
      <c r="V59" s="20" t="e">
        <f t="shared" si="9"/>
        <v>#N/A</v>
      </c>
      <c r="W59" s="20" t="e">
        <f t="shared" si="11"/>
        <v>#N/A</v>
      </c>
      <c r="X59" s="20" t="e">
        <f t="shared" si="12"/>
        <v>#N/A</v>
      </c>
    </row>
    <row r="60" spans="1:24" x14ac:dyDescent="0.25">
      <c r="A60" s="21"/>
      <c r="B60" s="21"/>
      <c r="C60" s="21"/>
      <c r="D60" s="21"/>
      <c r="E60" s="31" t="str">
        <f t="shared" si="10"/>
        <v/>
      </c>
      <c r="F60" s="24" t="str">
        <f t="shared" si="0"/>
        <v/>
      </c>
      <c r="G60" s="24" t="str">
        <f>IF(SUM($H$5:H59)&lt;1,C60,"")</f>
        <v/>
      </c>
      <c r="H60" s="24" t="str">
        <f t="shared" si="1"/>
        <v/>
      </c>
      <c r="I60" s="24">
        <f t="shared" si="2"/>
        <v>-1.7161000000000002</v>
      </c>
      <c r="J60" s="24" t="str">
        <f t="shared" si="13"/>
        <v/>
      </c>
      <c r="K60" s="24" t="str">
        <f t="shared" si="14"/>
        <v/>
      </c>
      <c r="L60" s="25">
        <f t="shared" si="6"/>
        <v>3354.3029964352618</v>
      </c>
      <c r="M60" s="26">
        <f t="shared" si="7"/>
        <v>52.772209567198182</v>
      </c>
      <c r="N60" s="24" t="str">
        <f t="shared" si="8"/>
        <v/>
      </c>
      <c r="U60" s="21"/>
      <c r="V60" s="20" t="e">
        <f t="shared" si="9"/>
        <v>#N/A</v>
      </c>
      <c r="W60" s="20" t="e">
        <f t="shared" si="11"/>
        <v>#N/A</v>
      </c>
      <c r="X60" s="20" t="e">
        <f t="shared" si="12"/>
        <v>#N/A</v>
      </c>
    </row>
    <row r="61" spans="1:24" x14ac:dyDescent="0.25">
      <c r="A61" s="21"/>
      <c r="B61" s="21"/>
      <c r="C61" s="21"/>
      <c r="D61" s="21"/>
      <c r="E61" s="31" t="str">
        <f t="shared" si="10"/>
        <v/>
      </c>
      <c r="F61" s="24" t="str">
        <f t="shared" si="0"/>
        <v/>
      </c>
      <c r="G61" s="24" t="str">
        <f>IF(SUM($H$5:H60)&lt;1,C61,"")</f>
        <v/>
      </c>
      <c r="H61" s="24" t="str">
        <f t="shared" si="1"/>
        <v/>
      </c>
      <c r="I61" s="24">
        <f t="shared" si="2"/>
        <v>-1.7161000000000002</v>
      </c>
      <c r="J61" s="24" t="str">
        <f t="shared" si="13"/>
        <v/>
      </c>
      <c r="K61" s="24" t="str">
        <f t="shared" si="14"/>
        <v/>
      </c>
      <c r="L61" s="25">
        <f t="shared" si="6"/>
        <v>3354.3029964352618</v>
      </c>
      <c r="M61" s="26">
        <f t="shared" si="7"/>
        <v>52.772209567198182</v>
      </c>
      <c r="N61" s="24" t="str">
        <f t="shared" si="8"/>
        <v/>
      </c>
      <c r="U61" s="21"/>
      <c r="V61" s="20" t="e">
        <f t="shared" si="9"/>
        <v>#N/A</v>
      </c>
      <c r="W61" s="20" t="e">
        <f t="shared" si="11"/>
        <v>#N/A</v>
      </c>
      <c r="X61" s="20" t="e">
        <f t="shared" si="12"/>
        <v>#N/A</v>
      </c>
    </row>
    <row r="62" spans="1:24" x14ac:dyDescent="0.25">
      <c r="A62" s="21"/>
      <c r="B62" s="21"/>
      <c r="C62" s="21"/>
      <c r="D62" s="21"/>
      <c r="E62" s="31" t="str">
        <f t="shared" si="10"/>
        <v/>
      </c>
      <c r="F62" s="24" t="str">
        <f t="shared" si="0"/>
        <v/>
      </c>
      <c r="G62" s="24" t="str">
        <f>IF(SUM($H$5:H61)&lt;1,C62,"")</f>
        <v/>
      </c>
      <c r="H62" s="24" t="str">
        <f t="shared" si="1"/>
        <v/>
      </c>
      <c r="I62" s="24">
        <f t="shared" si="2"/>
        <v>-1.7161000000000002</v>
      </c>
      <c r="J62" s="24" t="str">
        <f t="shared" si="13"/>
        <v/>
      </c>
      <c r="K62" s="24" t="str">
        <f t="shared" si="14"/>
        <v/>
      </c>
      <c r="L62" s="25">
        <f t="shared" si="6"/>
        <v>3354.3029964352618</v>
      </c>
      <c r="M62" s="26">
        <f t="shared" si="7"/>
        <v>52.772209567198182</v>
      </c>
      <c r="N62" s="24" t="str">
        <f t="shared" si="8"/>
        <v/>
      </c>
      <c r="U62" s="21"/>
      <c r="V62" s="20" t="e">
        <f t="shared" si="9"/>
        <v>#N/A</v>
      </c>
      <c r="W62" s="20" t="e">
        <f t="shared" si="11"/>
        <v>#N/A</v>
      </c>
      <c r="X62" s="20" t="e">
        <f t="shared" si="12"/>
        <v>#N/A</v>
      </c>
    </row>
    <row r="63" spans="1:24" x14ac:dyDescent="0.25">
      <c r="A63" s="21"/>
      <c r="B63" s="21"/>
      <c r="C63" s="21"/>
      <c r="D63" s="21"/>
      <c r="E63" s="31" t="str">
        <f t="shared" si="10"/>
        <v/>
      </c>
      <c r="F63" s="24" t="str">
        <f t="shared" si="0"/>
        <v/>
      </c>
      <c r="G63" s="24" t="str">
        <f>IF(SUM($H$5:H62)&lt;1,C63,"")</f>
        <v/>
      </c>
      <c r="H63" s="24" t="str">
        <f t="shared" si="1"/>
        <v/>
      </c>
      <c r="I63" s="24">
        <f t="shared" si="2"/>
        <v>-1.7161000000000002</v>
      </c>
      <c r="J63" s="24" t="str">
        <f t="shared" si="13"/>
        <v/>
      </c>
      <c r="K63" s="24" t="str">
        <f t="shared" si="14"/>
        <v/>
      </c>
      <c r="L63" s="25">
        <f t="shared" si="6"/>
        <v>3354.3029964352618</v>
      </c>
      <c r="M63" s="26">
        <f t="shared" si="7"/>
        <v>52.772209567198182</v>
      </c>
      <c r="N63" s="24" t="str">
        <f t="shared" si="8"/>
        <v/>
      </c>
      <c r="U63" s="21"/>
      <c r="V63" s="20" t="e">
        <f t="shared" si="9"/>
        <v>#N/A</v>
      </c>
      <c r="W63" s="20" t="e">
        <f t="shared" si="11"/>
        <v>#N/A</v>
      </c>
      <c r="X63" s="20" t="e">
        <f t="shared" si="12"/>
        <v>#N/A</v>
      </c>
    </row>
    <row r="64" spans="1:24" x14ac:dyDescent="0.25">
      <c r="A64" s="21"/>
      <c r="B64" s="21"/>
      <c r="C64" s="21"/>
      <c r="D64" s="21"/>
      <c r="E64" s="31" t="str">
        <f t="shared" si="10"/>
        <v/>
      </c>
      <c r="F64" s="24" t="str">
        <f t="shared" si="0"/>
        <v/>
      </c>
      <c r="G64" s="24" t="str">
        <f>IF(SUM($H$5:H63)&lt;1,C64,"")</f>
        <v/>
      </c>
      <c r="H64" s="24" t="str">
        <f t="shared" si="1"/>
        <v/>
      </c>
      <c r="I64" s="24">
        <f t="shared" si="2"/>
        <v>-1.7161000000000002</v>
      </c>
      <c r="J64" s="24" t="str">
        <f t="shared" si="13"/>
        <v/>
      </c>
      <c r="K64" s="24" t="str">
        <f t="shared" si="14"/>
        <v/>
      </c>
      <c r="L64" s="25">
        <f t="shared" si="6"/>
        <v>3354.3029964352618</v>
      </c>
      <c r="M64" s="26">
        <f t="shared" si="7"/>
        <v>52.772209567198182</v>
      </c>
      <c r="N64" s="24" t="str">
        <f t="shared" si="8"/>
        <v/>
      </c>
      <c r="U64" s="21"/>
      <c r="V64" s="20" t="e">
        <f t="shared" si="9"/>
        <v>#N/A</v>
      </c>
      <c r="W64" s="20" t="e">
        <f t="shared" si="11"/>
        <v>#N/A</v>
      </c>
      <c r="X64" s="20" t="e">
        <f t="shared" si="12"/>
        <v>#N/A</v>
      </c>
    </row>
    <row r="65" spans="1:24" x14ac:dyDescent="0.25">
      <c r="A65" s="21"/>
      <c r="B65" s="21"/>
      <c r="C65" s="21"/>
      <c r="D65" s="21"/>
      <c r="E65" s="31" t="str">
        <f t="shared" si="10"/>
        <v/>
      </c>
      <c r="F65" s="24" t="str">
        <f t="shared" si="0"/>
        <v/>
      </c>
      <c r="G65" s="24" t="str">
        <f>IF(SUM($H$5:H64)&lt;1,C65,"")</f>
        <v/>
      </c>
      <c r="H65" s="24" t="str">
        <f t="shared" si="1"/>
        <v/>
      </c>
      <c r="I65" s="24">
        <f t="shared" si="2"/>
        <v>-1.7161000000000002</v>
      </c>
      <c r="J65" s="24" t="str">
        <f t="shared" si="13"/>
        <v/>
      </c>
      <c r="K65" s="24" t="str">
        <f t="shared" si="14"/>
        <v/>
      </c>
      <c r="L65" s="25">
        <f t="shared" si="6"/>
        <v>3354.3029964352618</v>
      </c>
      <c r="M65" s="26">
        <f t="shared" si="7"/>
        <v>52.772209567198182</v>
      </c>
      <c r="N65" s="24" t="str">
        <f t="shared" si="8"/>
        <v/>
      </c>
      <c r="U65" s="21"/>
      <c r="V65" s="20" t="e">
        <f t="shared" si="9"/>
        <v>#N/A</v>
      </c>
      <c r="W65" s="20" t="e">
        <f t="shared" si="11"/>
        <v>#N/A</v>
      </c>
      <c r="X65" s="20" t="e">
        <f t="shared" si="12"/>
        <v>#N/A</v>
      </c>
    </row>
    <row r="66" spans="1:24" x14ac:dyDescent="0.25">
      <c r="A66" s="21"/>
      <c r="B66" s="21"/>
      <c r="C66" s="21"/>
      <c r="D66" s="21"/>
      <c r="E66" s="31" t="str">
        <f t="shared" si="10"/>
        <v/>
      </c>
      <c r="F66" s="24" t="str">
        <f t="shared" si="0"/>
        <v/>
      </c>
      <c r="G66" s="24" t="str">
        <f>IF(SUM($H$5:H65)&lt;1,C66,"")</f>
        <v/>
      </c>
      <c r="H66" s="24" t="str">
        <f t="shared" si="1"/>
        <v/>
      </c>
      <c r="I66" s="24">
        <f t="shared" si="2"/>
        <v>-1.7161000000000002</v>
      </c>
      <c r="J66" s="24" t="str">
        <f t="shared" si="13"/>
        <v/>
      </c>
      <c r="K66" s="24" t="str">
        <f t="shared" si="14"/>
        <v/>
      </c>
      <c r="L66" s="25">
        <f t="shared" si="6"/>
        <v>3354.3029964352618</v>
      </c>
      <c r="M66" s="26">
        <f t="shared" si="7"/>
        <v>52.772209567198182</v>
      </c>
      <c r="N66" s="24" t="str">
        <f t="shared" si="8"/>
        <v/>
      </c>
      <c r="U66" s="21"/>
      <c r="V66" s="20" t="e">
        <f t="shared" si="9"/>
        <v>#N/A</v>
      </c>
      <c r="W66" s="20" t="e">
        <f t="shared" si="11"/>
        <v>#N/A</v>
      </c>
      <c r="X66" s="20" t="e">
        <f t="shared" si="12"/>
        <v>#N/A</v>
      </c>
    </row>
    <row r="67" spans="1:24" x14ac:dyDescent="0.25">
      <c r="A67" s="21"/>
      <c r="B67" s="21"/>
      <c r="C67" s="21"/>
      <c r="D67" s="21"/>
      <c r="E67" s="31" t="str">
        <f t="shared" si="10"/>
        <v/>
      </c>
      <c r="F67" s="24" t="str">
        <f t="shared" si="0"/>
        <v/>
      </c>
      <c r="G67" s="24" t="str">
        <f>IF(SUM($H$5:H66)&lt;1,C67,"")</f>
        <v/>
      </c>
      <c r="H67" s="24" t="str">
        <f t="shared" si="1"/>
        <v/>
      </c>
      <c r="I67" s="24">
        <f t="shared" si="2"/>
        <v>-1.7161000000000002</v>
      </c>
      <c r="J67" s="24" t="str">
        <f t="shared" si="13"/>
        <v/>
      </c>
      <c r="K67" s="24" t="str">
        <f t="shared" si="14"/>
        <v/>
      </c>
      <c r="L67" s="25">
        <f t="shared" si="6"/>
        <v>3354.3029964352618</v>
      </c>
      <c r="M67" s="26">
        <f t="shared" si="7"/>
        <v>52.772209567198182</v>
      </c>
      <c r="N67" s="24" t="str">
        <f t="shared" si="8"/>
        <v/>
      </c>
      <c r="U67" s="21"/>
      <c r="V67" s="20" t="e">
        <f t="shared" si="9"/>
        <v>#N/A</v>
      </c>
      <c r="W67" s="20" t="e">
        <f t="shared" si="11"/>
        <v>#N/A</v>
      </c>
      <c r="X67" s="20" t="e">
        <f t="shared" si="12"/>
        <v>#N/A</v>
      </c>
    </row>
    <row r="68" spans="1:24" x14ac:dyDescent="0.25">
      <c r="A68" s="21"/>
      <c r="B68" s="21"/>
      <c r="C68" s="21"/>
      <c r="D68" s="21"/>
      <c r="E68" s="31" t="str">
        <f t="shared" si="10"/>
        <v/>
      </c>
      <c r="F68" s="24" t="str">
        <f t="shared" si="0"/>
        <v/>
      </c>
      <c r="G68" s="24" t="str">
        <f>IF(SUM($H$5:H67)&lt;1,C68,"")</f>
        <v/>
      </c>
      <c r="H68" s="24" t="str">
        <f t="shared" si="1"/>
        <v/>
      </c>
      <c r="I68" s="24">
        <f t="shared" si="2"/>
        <v>-1.7161000000000002</v>
      </c>
      <c r="J68" s="24" t="str">
        <f t="shared" si="13"/>
        <v/>
      </c>
      <c r="K68" s="24" t="str">
        <f t="shared" si="14"/>
        <v/>
      </c>
      <c r="L68" s="25">
        <f t="shared" si="6"/>
        <v>3354.3029964352618</v>
      </c>
      <c r="M68" s="26">
        <f t="shared" si="7"/>
        <v>52.772209567198182</v>
      </c>
      <c r="N68" s="24" t="str">
        <f t="shared" si="8"/>
        <v/>
      </c>
      <c r="U68" s="21"/>
      <c r="V68" s="20" t="e">
        <f t="shared" si="9"/>
        <v>#N/A</v>
      </c>
      <c r="W68" s="20" t="e">
        <f t="shared" si="11"/>
        <v>#N/A</v>
      </c>
      <c r="X68" s="20" t="e">
        <f t="shared" si="12"/>
        <v>#N/A</v>
      </c>
    </row>
    <row r="69" spans="1:24" x14ac:dyDescent="0.25">
      <c r="A69" s="21"/>
      <c r="B69" s="21"/>
      <c r="C69" s="21"/>
      <c r="D69" s="21"/>
      <c r="E69" s="31" t="str">
        <f t="shared" si="10"/>
        <v/>
      </c>
      <c r="F69" s="24" t="str">
        <f t="shared" ref="F69:F105" si="15">IF(G69="","",B69)</f>
        <v/>
      </c>
      <c r="G69" s="24" t="str">
        <f>IF(SUM($H$5:H68)&lt;1,C69,"")</f>
        <v/>
      </c>
      <c r="H69" s="24" t="str">
        <f t="shared" ref="H69:H105" si="16">IF(MAX($C$5:$C$105)=C69,1,"")</f>
        <v/>
      </c>
      <c r="I69" s="24">
        <f t="shared" ref="I69:I105" si="17">C69^2-$C$5^2</f>
        <v>-1.7161000000000002</v>
      </c>
      <c r="J69" s="24" t="str">
        <f t="shared" ref="J69:J105" si="18">IF(AND($R$40&gt;F69,NOT(G69="")),F69,"")</f>
        <v/>
      </c>
      <c r="K69" s="24" t="str">
        <f t="shared" ref="K69:K105" si="19">IF(AND($R$40&gt;F69,NOT(G69="")),I69,"")</f>
        <v/>
      </c>
      <c r="L69" s="25">
        <f t="shared" si="6"/>
        <v>3354.3029964352618</v>
      </c>
      <c r="M69" s="26">
        <f t="shared" si="7"/>
        <v>52.772209567198182</v>
      </c>
      <c r="N69" s="24" t="str">
        <f t="shared" si="8"/>
        <v/>
      </c>
      <c r="U69" s="21"/>
      <c r="V69" s="20" t="e">
        <f t="shared" si="9"/>
        <v>#N/A</v>
      </c>
      <c r="W69" s="20" t="e">
        <f t="shared" si="11"/>
        <v>#N/A</v>
      </c>
      <c r="X69" s="20" t="e">
        <f t="shared" si="12"/>
        <v>#N/A</v>
      </c>
    </row>
    <row r="70" spans="1:24" x14ac:dyDescent="0.25">
      <c r="A70" s="21"/>
      <c r="B70" s="21"/>
      <c r="C70" s="21"/>
      <c r="D70" s="21"/>
      <c r="E70" s="31" t="str">
        <f t="shared" si="10"/>
        <v/>
      </c>
      <c r="F70" s="24" t="str">
        <f t="shared" si="15"/>
        <v/>
      </c>
      <c r="G70" s="24" t="str">
        <f>IF(SUM($H$5:H69)&lt;1,C70,"")</f>
        <v/>
      </c>
      <c r="H70" s="24" t="str">
        <f t="shared" si="16"/>
        <v/>
      </c>
      <c r="I70" s="24">
        <f t="shared" si="17"/>
        <v>-1.7161000000000002</v>
      </c>
      <c r="J70" s="24" t="str">
        <f t="shared" si="18"/>
        <v/>
      </c>
      <c r="K70" s="24" t="str">
        <f t="shared" si="19"/>
        <v/>
      </c>
      <c r="L70" s="25">
        <f t="shared" ref="L70:L105" si="20">IF(G70="",L69,F70*$R$6*(100/$R$5))</f>
        <v>3354.3029964352618</v>
      </c>
      <c r="M70" s="26">
        <f t="shared" ref="M70:M105" si="21">IF(G70="",M69,(F70-$F$5)/G70)</f>
        <v>52.772209567198182</v>
      </c>
      <c r="N70" s="24" t="str">
        <f t="shared" ref="N70:N105" si="22">IF(F70="","",(F70-(E70*$R$71+$R$72))*100/(MAX($F$5:$F$105)*0.9))</f>
        <v/>
      </c>
      <c r="U70" s="21"/>
      <c r="V70" s="20" t="e">
        <f t="shared" ref="V70:V105" si="23">B70*$R$8</f>
        <v>#N/A</v>
      </c>
      <c r="W70" s="20" t="e">
        <f t="shared" si="11"/>
        <v>#N/A</v>
      </c>
      <c r="X70" s="20" t="e">
        <f t="shared" si="12"/>
        <v>#N/A</v>
      </c>
    </row>
    <row r="71" spans="1:24" x14ac:dyDescent="0.25">
      <c r="A71" s="21"/>
      <c r="B71" s="21"/>
      <c r="C71" s="21"/>
      <c r="D71" s="21"/>
      <c r="E71" s="31" t="str">
        <f t="shared" ref="E71:E105" si="24">IF(F71="","",E70+1)</f>
        <v/>
      </c>
      <c r="F71" s="24" t="str">
        <f t="shared" si="15"/>
        <v/>
      </c>
      <c r="G71" s="24" t="str">
        <f>IF(SUM($H$5:H70)&lt;1,C71,"")</f>
        <v/>
      </c>
      <c r="H71" s="24" t="str">
        <f t="shared" si="16"/>
        <v/>
      </c>
      <c r="I71" s="24">
        <f t="shared" si="17"/>
        <v>-1.7161000000000002</v>
      </c>
      <c r="J71" s="24" t="str">
        <f t="shared" si="18"/>
        <v/>
      </c>
      <c r="K71" s="24" t="str">
        <f t="shared" si="19"/>
        <v/>
      </c>
      <c r="L71" s="25">
        <f t="shared" si="20"/>
        <v>3354.3029964352618</v>
      </c>
      <c r="M71" s="26">
        <f t="shared" si="21"/>
        <v>52.772209567198182</v>
      </c>
      <c r="N71" s="24" t="str">
        <f t="shared" si="22"/>
        <v/>
      </c>
      <c r="Q71" s="15" t="s">
        <v>3</v>
      </c>
      <c r="R71" s="11">
        <f>(MATCH(MAX(G5:G105),G5:G105)*SUMPRODUCT(E5:E105,F5:F105)-SUM(E5:E105)*SUM(F5:F105))/(MATCH(MAX(G5:G105),G5:G105)*SUMSQ(E5:E105) - SUM(E5:E105)^2)</f>
        <v>7.2318382352941111</v>
      </c>
      <c r="U71" s="21"/>
      <c r="V71" s="20" t="e">
        <f t="shared" si="23"/>
        <v>#N/A</v>
      </c>
      <c r="W71" s="20" t="e">
        <f t="shared" si="11"/>
        <v>#N/A</v>
      </c>
      <c r="X71" s="20" t="e">
        <f t="shared" si="12"/>
        <v>#N/A</v>
      </c>
    </row>
    <row r="72" spans="1:24" x14ac:dyDescent="0.25">
      <c r="A72" s="21"/>
      <c r="B72" s="21"/>
      <c r="C72" s="21"/>
      <c r="D72" s="21"/>
      <c r="E72" s="31" t="str">
        <f t="shared" si="24"/>
        <v/>
      </c>
      <c r="F72" s="24" t="str">
        <f t="shared" si="15"/>
        <v/>
      </c>
      <c r="G72" s="24" t="str">
        <f>IF(SUM($H$5:H71)&lt;1,C72,"")</f>
        <v/>
      </c>
      <c r="H72" s="24" t="str">
        <f t="shared" si="16"/>
        <v/>
      </c>
      <c r="I72" s="24">
        <f t="shared" si="17"/>
        <v>-1.7161000000000002</v>
      </c>
      <c r="J72" s="24" t="str">
        <f t="shared" si="18"/>
        <v/>
      </c>
      <c r="K72" s="24" t="str">
        <f t="shared" si="19"/>
        <v/>
      </c>
      <c r="L72" s="25">
        <f t="shared" si="20"/>
        <v>3354.3029964352618</v>
      </c>
      <c r="M72" s="26">
        <f t="shared" si="21"/>
        <v>52.772209567198182</v>
      </c>
      <c r="N72" s="24" t="str">
        <f t="shared" si="22"/>
        <v/>
      </c>
      <c r="Q72" s="15" t="s">
        <v>4</v>
      </c>
      <c r="R72" s="11">
        <f>(SUM(F5:F105)*SUMSQ(E5:E105) - SUM(E5:E105)*SUMPRODUCT(E5:E105,F5:F105))/( MATCH(MAX(E5:E105),E5:E105)*SUMSQ(E5:E105) - SUM(E5:E105)^2)</f>
        <v>4.7360427807487566</v>
      </c>
      <c r="U72" s="21"/>
      <c r="V72" s="20" t="e">
        <f t="shared" si="23"/>
        <v>#N/A</v>
      </c>
      <c r="W72" s="20" t="e">
        <f t="shared" si="11"/>
        <v>#N/A</v>
      </c>
      <c r="X72" s="20" t="e">
        <f t="shared" si="12"/>
        <v>#N/A</v>
      </c>
    </row>
    <row r="73" spans="1:24" x14ac:dyDescent="0.25">
      <c r="A73" s="21"/>
      <c r="B73" s="21"/>
      <c r="C73" s="21"/>
      <c r="D73" s="21"/>
      <c r="E73" s="31" t="str">
        <f t="shared" si="24"/>
        <v/>
      </c>
      <c r="F73" s="24" t="str">
        <f t="shared" si="15"/>
        <v/>
      </c>
      <c r="G73" s="24" t="str">
        <f>IF(SUM($H$5:H72)&lt;1,C73,"")</f>
        <v/>
      </c>
      <c r="H73" s="24" t="str">
        <f t="shared" si="16"/>
        <v/>
      </c>
      <c r="I73" s="24">
        <f t="shared" si="17"/>
        <v>-1.7161000000000002</v>
      </c>
      <c r="J73" s="24" t="str">
        <f t="shared" si="18"/>
        <v/>
      </c>
      <c r="K73" s="24" t="str">
        <f t="shared" si="19"/>
        <v/>
      </c>
      <c r="L73" s="25">
        <f t="shared" si="20"/>
        <v>3354.3029964352618</v>
      </c>
      <c r="M73" s="26">
        <f t="shared" si="21"/>
        <v>52.772209567198182</v>
      </c>
      <c r="N73" s="24" t="str">
        <f t="shared" si="22"/>
        <v/>
      </c>
      <c r="Q73" s="16" t="s">
        <v>19</v>
      </c>
      <c r="R73" s="11">
        <f>(MAX(N5:N105)-MIN(N5:N105))/2</f>
        <v>1.0849080990059279</v>
      </c>
      <c r="U73" s="21"/>
      <c r="V73" s="20" t="e">
        <f t="shared" si="23"/>
        <v>#N/A</v>
      </c>
      <c r="W73" s="20" t="e">
        <f t="shared" si="11"/>
        <v>#N/A</v>
      </c>
      <c r="X73" s="20" t="e">
        <f t="shared" si="12"/>
        <v>#N/A</v>
      </c>
    </row>
    <row r="74" spans="1:24" x14ac:dyDescent="0.25">
      <c r="A74" s="21"/>
      <c r="B74" s="21"/>
      <c r="C74" s="21"/>
      <c r="D74" s="21"/>
      <c r="E74" s="31" t="str">
        <f t="shared" si="24"/>
        <v/>
      </c>
      <c r="F74" s="24" t="str">
        <f t="shared" si="15"/>
        <v/>
      </c>
      <c r="G74" s="24" t="str">
        <f>IF(SUM($H$5:H73)&lt;1,C74,"")</f>
        <v/>
      </c>
      <c r="H74" s="24" t="str">
        <f t="shared" si="16"/>
        <v/>
      </c>
      <c r="I74" s="24">
        <f t="shared" si="17"/>
        <v>-1.7161000000000002</v>
      </c>
      <c r="J74" s="24" t="str">
        <f t="shared" si="18"/>
        <v/>
      </c>
      <c r="K74" s="24" t="str">
        <f t="shared" si="19"/>
        <v/>
      </c>
      <c r="L74" s="25">
        <f t="shared" si="20"/>
        <v>3354.3029964352618</v>
      </c>
      <c r="M74" s="26">
        <f t="shared" si="21"/>
        <v>52.772209567198182</v>
      </c>
      <c r="N74" s="24" t="str">
        <f t="shared" si="22"/>
        <v/>
      </c>
      <c r="U74" s="21"/>
      <c r="V74" s="20" t="e">
        <f t="shared" si="23"/>
        <v>#N/A</v>
      </c>
      <c r="W74" s="20" t="e">
        <f t="shared" si="11"/>
        <v>#N/A</v>
      </c>
      <c r="X74" s="20" t="e">
        <f t="shared" si="12"/>
        <v>#N/A</v>
      </c>
    </row>
    <row r="75" spans="1:24" x14ac:dyDescent="0.25">
      <c r="A75" s="21"/>
      <c r="B75" s="21"/>
      <c r="C75" s="21"/>
      <c r="D75" s="21"/>
      <c r="E75" s="31" t="str">
        <f t="shared" si="24"/>
        <v/>
      </c>
      <c r="F75" s="24" t="str">
        <f t="shared" si="15"/>
        <v/>
      </c>
      <c r="G75" s="24" t="str">
        <f>IF(SUM($H$5:H74)&lt;1,C75,"")</f>
        <v/>
      </c>
      <c r="H75" s="24" t="str">
        <f t="shared" si="16"/>
        <v/>
      </c>
      <c r="I75" s="24">
        <f t="shared" si="17"/>
        <v>-1.7161000000000002</v>
      </c>
      <c r="J75" s="24" t="str">
        <f t="shared" si="18"/>
        <v/>
      </c>
      <c r="K75" s="24" t="str">
        <f t="shared" si="19"/>
        <v/>
      </c>
      <c r="L75" s="25">
        <f t="shared" si="20"/>
        <v>3354.3029964352618</v>
      </c>
      <c r="M75" s="26">
        <f t="shared" si="21"/>
        <v>52.772209567198182</v>
      </c>
      <c r="N75" s="24" t="str">
        <f t="shared" si="22"/>
        <v/>
      </c>
      <c r="Q75" s="33" t="s">
        <v>1</v>
      </c>
      <c r="R75" s="1">
        <v>0</v>
      </c>
      <c r="S75" s="1">
        <f>R72</f>
        <v>4.7360427807487566</v>
      </c>
      <c r="U75" s="21"/>
      <c r="V75" s="20" t="e">
        <f t="shared" si="23"/>
        <v>#N/A</v>
      </c>
      <c r="W75" s="20" t="e">
        <f t="shared" si="11"/>
        <v>#N/A</v>
      </c>
      <c r="X75" s="20" t="e">
        <f t="shared" si="12"/>
        <v>#N/A</v>
      </c>
    </row>
    <row r="76" spans="1:24" x14ac:dyDescent="0.25">
      <c r="A76" s="21"/>
      <c r="B76" s="21"/>
      <c r="C76" s="21"/>
      <c r="D76" s="21"/>
      <c r="E76" s="31" t="str">
        <f t="shared" si="24"/>
        <v/>
      </c>
      <c r="F76" s="24" t="str">
        <f t="shared" si="15"/>
        <v/>
      </c>
      <c r="G76" s="24" t="str">
        <f>IF(SUM($H$5:H75)&lt;1,C76,"")</f>
        <v/>
      </c>
      <c r="H76" s="24" t="str">
        <f t="shared" si="16"/>
        <v/>
      </c>
      <c r="I76" s="24">
        <f t="shared" si="17"/>
        <v>-1.7161000000000002</v>
      </c>
      <c r="J76" s="24" t="str">
        <f t="shared" si="18"/>
        <v/>
      </c>
      <c r="K76" s="24" t="str">
        <f t="shared" si="19"/>
        <v/>
      </c>
      <c r="L76" s="25">
        <f t="shared" si="20"/>
        <v>3354.3029964352618</v>
      </c>
      <c r="M76" s="26">
        <f t="shared" si="21"/>
        <v>52.772209567198182</v>
      </c>
      <c r="N76" s="24" t="str">
        <f t="shared" si="22"/>
        <v/>
      </c>
      <c r="Q76" s="33"/>
      <c r="R76" s="30">
        <f>MAX(L5:L105)</f>
        <v>3354.3029964352618</v>
      </c>
      <c r="S76" s="1">
        <f>R71*MAX(E5:E105)+R75</f>
        <v>231.41882352941155</v>
      </c>
      <c r="U76" s="21"/>
      <c r="V76" s="20" t="e">
        <f t="shared" si="23"/>
        <v>#N/A</v>
      </c>
      <c r="W76" s="20" t="e">
        <f t="shared" si="11"/>
        <v>#N/A</v>
      </c>
      <c r="X76" s="20" t="e">
        <f t="shared" si="12"/>
        <v>#N/A</v>
      </c>
    </row>
    <row r="77" spans="1:24" x14ac:dyDescent="0.25">
      <c r="A77" s="21"/>
      <c r="B77" s="21"/>
      <c r="C77" s="21"/>
      <c r="D77" s="21"/>
      <c r="E77" s="31" t="str">
        <f t="shared" si="24"/>
        <v/>
      </c>
      <c r="F77" s="24" t="str">
        <f t="shared" si="15"/>
        <v/>
      </c>
      <c r="G77" s="24" t="str">
        <f>IF(SUM($H$5:H76)&lt;1,C77,"")</f>
        <v/>
      </c>
      <c r="H77" s="24" t="str">
        <f t="shared" si="16"/>
        <v/>
      </c>
      <c r="I77" s="24">
        <f t="shared" si="17"/>
        <v>-1.7161000000000002</v>
      </c>
      <c r="J77" s="24" t="str">
        <f t="shared" si="18"/>
        <v/>
      </c>
      <c r="K77" s="24" t="str">
        <f t="shared" si="19"/>
        <v/>
      </c>
      <c r="L77" s="25">
        <f t="shared" si="20"/>
        <v>3354.3029964352618</v>
      </c>
      <c r="M77" s="26">
        <f t="shared" si="21"/>
        <v>52.772209567198182</v>
      </c>
      <c r="N77" s="24" t="str">
        <f t="shared" si="22"/>
        <v/>
      </c>
      <c r="U77" s="21"/>
      <c r="V77" s="20" t="e">
        <f t="shared" si="23"/>
        <v>#N/A</v>
      </c>
      <c r="W77" s="20" t="e">
        <f t="shared" si="11"/>
        <v>#N/A</v>
      </c>
      <c r="X77" s="20" t="e">
        <f t="shared" si="12"/>
        <v>#N/A</v>
      </c>
    </row>
    <row r="78" spans="1:24" x14ac:dyDescent="0.25">
      <c r="A78" s="21"/>
      <c r="B78" s="21"/>
      <c r="C78" s="21"/>
      <c r="D78" s="21"/>
      <c r="E78" s="31" t="str">
        <f t="shared" si="24"/>
        <v/>
      </c>
      <c r="F78" s="24" t="str">
        <f t="shared" si="15"/>
        <v/>
      </c>
      <c r="G78" s="24" t="str">
        <f>IF(SUM($H$5:H77)&lt;1,C78,"")</f>
        <v/>
      </c>
      <c r="H78" s="24" t="str">
        <f t="shared" si="16"/>
        <v/>
      </c>
      <c r="I78" s="24">
        <f t="shared" si="17"/>
        <v>-1.7161000000000002</v>
      </c>
      <c r="J78" s="24" t="str">
        <f t="shared" si="18"/>
        <v/>
      </c>
      <c r="K78" s="24" t="str">
        <f t="shared" si="19"/>
        <v/>
      </c>
      <c r="L78" s="25">
        <f t="shared" si="20"/>
        <v>3354.3029964352618</v>
      </c>
      <c r="M78" s="26">
        <f t="shared" si="21"/>
        <v>52.772209567198182</v>
      </c>
      <c r="N78" s="24" t="str">
        <f t="shared" si="22"/>
        <v/>
      </c>
      <c r="U78" s="21"/>
      <c r="V78" s="20" t="e">
        <f t="shared" si="23"/>
        <v>#N/A</v>
      </c>
      <c r="W78" s="20" t="e">
        <f t="shared" si="11"/>
        <v>#N/A</v>
      </c>
      <c r="X78" s="20" t="e">
        <f t="shared" si="12"/>
        <v>#N/A</v>
      </c>
    </row>
    <row r="79" spans="1:24" x14ac:dyDescent="0.25">
      <c r="A79" s="21"/>
      <c r="B79" s="21"/>
      <c r="C79" s="21"/>
      <c r="D79" s="21"/>
      <c r="E79" s="31" t="str">
        <f t="shared" si="24"/>
        <v/>
      </c>
      <c r="F79" s="24" t="str">
        <f t="shared" si="15"/>
        <v/>
      </c>
      <c r="G79" s="24" t="str">
        <f>IF(SUM($H$5:H78)&lt;1,C79,"")</f>
        <v/>
      </c>
      <c r="H79" s="24" t="str">
        <f t="shared" si="16"/>
        <v/>
      </c>
      <c r="I79" s="24">
        <f t="shared" si="17"/>
        <v>-1.7161000000000002</v>
      </c>
      <c r="J79" s="24" t="str">
        <f t="shared" si="18"/>
        <v/>
      </c>
      <c r="K79" s="24" t="str">
        <f t="shared" si="19"/>
        <v/>
      </c>
      <c r="L79" s="25">
        <f t="shared" si="20"/>
        <v>3354.3029964352618</v>
      </c>
      <c r="M79" s="26">
        <f t="shared" si="21"/>
        <v>52.772209567198182</v>
      </c>
      <c r="N79" s="24" t="str">
        <f t="shared" si="22"/>
        <v/>
      </c>
      <c r="U79" s="21"/>
      <c r="V79" s="20" t="e">
        <f t="shared" si="23"/>
        <v>#N/A</v>
      </c>
      <c r="W79" s="20" t="e">
        <f t="shared" si="11"/>
        <v>#N/A</v>
      </c>
      <c r="X79" s="20" t="e">
        <f t="shared" si="12"/>
        <v>#N/A</v>
      </c>
    </row>
    <row r="80" spans="1:24" x14ac:dyDescent="0.25">
      <c r="A80" s="21"/>
      <c r="B80" s="21"/>
      <c r="C80" s="21"/>
      <c r="D80" s="21"/>
      <c r="E80" s="31" t="str">
        <f t="shared" si="24"/>
        <v/>
      </c>
      <c r="F80" s="24" t="str">
        <f t="shared" si="15"/>
        <v/>
      </c>
      <c r="G80" s="24" t="str">
        <f>IF(SUM($H$5:H79)&lt;1,C80,"")</f>
        <v/>
      </c>
      <c r="H80" s="24" t="str">
        <f t="shared" si="16"/>
        <v/>
      </c>
      <c r="I80" s="24">
        <f t="shared" si="17"/>
        <v>-1.7161000000000002</v>
      </c>
      <c r="J80" s="24" t="str">
        <f t="shared" si="18"/>
        <v/>
      </c>
      <c r="K80" s="24" t="str">
        <f t="shared" si="19"/>
        <v/>
      </c>
      <c r="L80" s="25">
        <f t="shared" si="20"/>
        <v>3354.3029964352618</v>
      </c>
      <c r="M80" s="26">
        <f t="shared" si="21"/>
        <v>52.772209567198182</v>
      </c>
      <c r="N80" s="24" t="str">
        <f t="shared" si="22"/>
        <v/>
      </c>
      <c r="U80" s="21"/>
      <c r="V80" s="20" t="e">
        <f t="shared" si="23"/>
        <v>#N/A</v>
      </c>
      <c r="W80" s="20" t="e">
        <f t="shared" si="11"/>
        <v>#N/A</v>
      </c>
      <c r="X80" s="20" t="e">
        <f t="shared" si="12"/>
        <v>#N/A</v>
      </c>
    </row>
    <row r="81" spans="1:24" x14ac:dyDescent="0.25">
      <c r="A81" s="21"/>
      <c r="B81" s="21"/>
      <c r="C81" s="21"/>
      <c r="D81" s="21"/>
      <c r="E81" s="31" t="str">
        <f t="shared" si="24"/>
        <v/>
      </c>
      <c r="F81" s="24" t="str">
        <f t="shared" si="15"/>
        <v/>
      </c>
      <c r="G81" s="24" t="str">
        <f>IF(SUM($H$5:H80)&lt;1,C81,"")</f>
        <v/>
      </c>
      <c r="H81" s="24" t="str">
        <f t="shared" si="16"/>
        <v/>
      </c>
      <c r="I81" s="24">
        <f t="shared" si="17"/>
        <v>-1.7161000000000002</v>
      </c>
      <c r="J81" s="24" t="str">
        <f t="shared" si="18"/>
        <v/>
      </c>
      <c r="K81" s="24" t="str">
        <f t="shared" si="19"/>
        <v/>
      </c>
      <c r="L81" s="25">
        <f t="shared" si="20"/>
        <v>3354.3029964352618</v>
      </c>
      <c r="M81" s="26">
        <f t="shared" si="21"/>
        <v>52.772209567198182</v>
      </c>
      <c r="N81" s="24" t="str">
        <f t="shared" si="22"/>
        <v/>
      </c>
      <c r="U81" s="21"/>
      <c r="V81" s="20" t="e">
        <f t="shared" si="23"/>
        <v>#N/A</v>
      </c>
      <c r="W81" s="20" t="e">
        <f t="shared" si="11"/>
        <v>#N/A</v>
      </c>
      <c r="X81" s="20" t="e">
        <f t="shared" si="12"/>
        <v>#N/A</v>
      </c>
    </row>
    <row r="82" spans="1:24" x14ac:dyDescent="0.25">
      <c r="A82" s="21"/>
      <c r="B82" s="21"/>
      <c r="C82" s="21"/>
      <c r="D82" s="21"/>
      <c r="E82" s="31" t="str">
        <f t="shared" si="24"/>
        <v/>
      </c>
      <c r="F82" s="24" t="str">
        <f t="shared" si="15"/>
        <v/>
      </c>
      <c r="G82" s="24" t="str">
        <f>IF(SUM($H$5:H81)&lt;1,C82,"")</f>
        <v/>
      </c>
      <c r="H82" s="24" t="str">
        <f t="shared" si="16"/>
        <v/>
      </c>
      <c r="I82" s="24">
        <f t="shared" si="17"/>
        <v>-1.7161000000000002</v>
      </c>
      <c r="J82" s="24" t="str">
        <f t="shared" si="18"/>
        <v/>
      </c>
      <c r="K82" s="24" t="str">
        <f t="shared" si="19"/>
        <v/>
      </c>
      <c r="L82" s="25">
        <f t="shared" si="20"/>
        <v>3354.3029964352618</v>
      </c>
      <c r="M82" s="26">
        <f t="shared" si="21"/>
        <v>52.772209567198182</v>
      </c>
      <c r="N82" s="24" t="str">
        <f t="shared" si="22"/>
        <v/>
      </c>
      <c r="U82" s="21"/>
      <c r="V82" s="20" t="e">
        <f t="shared" si="23"/>
        <v>#N/A</v>
      </c>
      <c r="W82" s="20" t="e">
        <f t="shared" si="11"/>
        <v>#N/A</v>
      </c>
      <c r="X82" s="20" t="e">
        <f t="shared" si="12"/>
        <v>#N/A</v>
      </c>
    </row>
    <row r="83" spans="1:24" x14ac:dyDescent="0.25">
      <c r="A83" s="21"/>
      <c r="B83" s="21"/>
      <c r="C83" s="21"/>
      <c r="D83" s="21"/>
      <c r="E83" s="31" t="str">
        <f t="shared" si="24"/>
        <v/>
      </c>
      <c r="F83" s="24" t="str">
        <f t="shared" si="15"/>
        <v/>
      </c>
      <c r="G83" s="24" t="str">
        <f>IF(SUM($H$5:H82)&lt;1,C83,"")</f>
        <v/>
      </c>
      <c r="H83" s="24" t="str">
        <f t="shared" si="16"/>
        <v/>
      </c>
      <c r="I83" s="24">
        <f t="shared" si="17"/>
        <v>-1.7161000000000002</v>
      </c>
      <c r="J83" s="24" t="str">
        <f t="shared" si="18"/>
        <v/>
      </c>
      <c r="K83" s="24" t="str">
        <f t="shared" si="19"/>
        <v/>
      </c>
      <c r="L83" s="25">
        <f t="shared" si="20"/>
        <v>3354.3029964352618</v>
      </c>
      <c r="M83" s="26">
        <f t="shared" si="21"/>
        <v>52.772209567198182</v>
      </c>
      <c r="N83" s="24" t="str">
        <f t="shared" si="22"/>
        <v/>
      </c>
      <c r="U83" s="21"/>
      <c r="V83" s="20" t="e">
        <f t="shared" si="23"/>
        <v>#N/A</v>
      </c>
      <c r="W83" s="20" t="e">
        <f t="shared" si="11"/>
        <v>#N/A</v>
      </c>
      <c r="X83" s="20" t="e">
        <f t="shared" si="12"/>
        <v>#N/A</v>
      </c>
    </row>
    <row r="84" spans="1:24" x14ac:dyDescent="0.25">
      <c r="A84" s="21"/>
      <c r="B84" s="21"/>
      <c r="C84" s="21"/>
      <c r="D84" s="21"/>
      <c r="E84" s="31" t="str">
        <f t="shared" si="24"/>
        <v/>
      </c>
      <c r="F84" s="24" t="str">
        <f t="shared" si="15"/>
        <v/>
      </c>
      <c r="G84" s="24" t="str">
        <f>IF(SUM($H$5:H83)&lt;1,C84,"")</f>
        <v/>
      </c>
      <c r="H84" s="24" t="str">
        <f t="shared" si="16"/>
        <v/>
      </c>
      <c r="I84" s="24">
        <f t="shared" si="17"/>
        <v>-1.7161000000000002</v>
      </c>
      <c r="J84" s="24" t="str">
        <f t="shared" si="18"/>
        <v/>
      </c>
      <c r="K84" s="24" t="str">
        <f t="shared" si="19"/>
        <v/>
      </c>
      <c r="L84" s="25">
        <f t="shared" si="20"/>
        <v>3354.3029964352618</v>
      </c>
      <c r="M84" s="26">
        <f t="shared" si="21"/>
        <v>52.772209567198182</v>
      </c>
      <c r="N84" s="24" t="str">
        <f t="shared" si="22"/>
        <v/>
      </c>
      <c r="U84" s="21"/>
      <c r="V84" s="20" t="e">
        <f t="shared" si="23"/>
        <v>#N/A</v>
      </c>
      <c r="W84" s="20" t="e">
        <f t="shared" si="11"/>
        <v>#N/A</v>
      </c>
      <c r="X84" s="20" t="e">
        <f t="shared" si="12"/>
        <v>#N/A</v>
      </c>
    </row>
    <row r="85" spans="1:24" x14ac:dyDescent="0.25">
      <c r="A85" s="21"/>
      <c r="B85" s="21"/>
      <c r="C85" s="21"/>
      <c r="D85" s="21"/>
      <c r="E85" s="31" t="str">
        <f t="shared" si="24"/>
        <v/>
      </c>
      <c r="F85" s="24" t="str">
        <f t="shared" si="15"/>
        <v/>
      </c>
      <c r="G85" s="24" t="str">
        <f>IF(SUM($H$5:H84)&lt;1,C85,"")</f>
        <v/>
      </c>
      <c r="H85" s="24" t="str">
        <f t="shared" si="16"/>
        <v/>
      </c>
      <c r="I85" s="24">
        <f t="shared" si="17"/>
        <v>-1.7161000000000002</v>
      </c>
      <c r="J85" s="24" t="str">
        <f t="shared" si="18"/>
        <v/>
      </c>
      <c r="K85" s="24" t="str">
        <f t="shared" si="19"/>
        <v/>
      </c>
      <c r="L85" s="25">
        <f t="shared" si="20"/>
        <v>3354.3029964352618</v>
      </c>
      <c r="M85" s="26">
        <f t="shared" si="21"/>
        <v>52.772209567198182</v>
      </c>
      <c r="N85" s="24" t="str">
        <f t="shared" si="22"/>
        <v/>
      </c>
      <c r="U85" s="21"/>
      <c r="V85" s="20" t="e">
        <f t="shared" si="23"/>
        <v>#N/A</v>
      </c>
      <c r="W85" s="20" t="e">
        <f t="shared" ref="W85:W105" si="25">C85*$R$8</f>
        <v>#N/A</v>
      </c>
      <c r="X85" s="20" t="e">
        <f t="shared" ref="X85:X105" si="26">D85*$R$8</f>
        <v>#N/A</v>
      </c>
    </row>
    <row r="86" spans="1:24" x14ac:dyDescent="0.25">
      <c r="A86" s="21"/>
      <c r="B86" s="21"/>
      <c r="C86" s="21"/>
      <c r="D86" s="21"/>
      <c r="E86" s="31" t="str">
        <f t="shared" si="24"/>
        <v/>
      </c>
      <c r="F86" s="24" t="str">
        <f t="shared" si="15"/>
        <v/>
      </c>
      <c r="G86" s="24" t="str">
        <f>IF(SUM($H$5:H85)&lt;1,C86,"")</f>
        <v/>
      </c>
      <c r="H86" s="24" t="str">
        <f t="shared" si="16"/>
        <v/>
      </c>
      <c r="I86" s="24">
        <f t="shared" si="17"/>
        <v>-1.7161000000000002</v>
      </c>
      <c r="J86" s="24" t="str">
        <f t="shared" si="18"/>
        <v/>
      </c>
      <c r="K86" s="24" t="str">
        <f t="shared" si="19"/>
        <v/>
      </c>
      <c r="L86" s="25">
        <f t="shared" si="20"/>
        <v>3354.3029964352618</v>
      </c>
      <c r="M86" s="26">
        <f t="shared" si="21"/>
        <v>52.772209567198182</v>
      </c>
      <c r="N86" s="24" t="str">
        <f t="shared" si="22"/>
        <v/>
      </c>
      <c r="U86" s="21"/>
      <c r="V86" s="20" t="e">
        <f t="shared" si="23"/>
        <v>#N/A</v>
      </c>
      <c r="W86" s="20" t="e">
        <f t="shared" si="25"/>
        <v>#N/A</v>
      </c>
      <c r="X86" s="20" t="e">
        <f t="shared" si="26"/>
        <v>#N/A</v>
      </c>
    </row>
    <row r="87" spans="1:24" x14ac:dyDescent="0.25">
      <c r="A87" s="21"/>
      <c r="B87" s="21"/>
      <c r="C87" s="21"/>
      <c r="D87" s="21"/>
      <c r="E87" s="31" t="str">
        <f t="shared" si="24"/>
        <v/>
      </c>
      <c r="F87" s="24" t="str">
        <f t="shared" si="15"/>
        <v/>
      </c>
      <c r="G87" s="24" t="str">
        <f>IF(SUM($H$5:H86)&lt;1,C87,"")</f>
        <v/>
      </c>
      <c r="H87" s="24" t="str">
        <f t="shared" si="16"/>
        <v/>
      </c>
      <c r="I87" s="24">
        <f t="shared" si="17"/>
        <v>-1.7161000000000002</v>
      </c>
      <c r="J87" s="24" t="str">
        <f t="shared" si="18"/>
        <v/>
      </c>
      <c r="K87" s="24" t="str">
        <f t="shared" si="19"/>
        <v/>
      </c>
      <c r="L87" s="25">
        <f t="shared" si="20"/>
        <v>3354.3029964352618</v>
      </c>
      <c r="M87" s="26">
        <f t="shared" si="21"/>
        <v>52.772209567198182</v>
      </c>
      <c r="N87" s="24" t="str">
        <f t="shared" si="22"/>
        <v/>
      </c>
      <c r="U87" s="21"/>
      <c r="V87" s="20" t="e">
        <f t="shared" si="23"/>
        <v>#N/A</v>
      </c>
      <c r="W87" s="20" t="e">
        <f t="shared" si="25"/>
        <v>#N/A</v>
      </c>
      <c r="X87" s="20" t="e">
        <f t="shared" si="26"/>
        <v>#N/A</v>
      </c>
    </row>
    <row r="88" spans="1:24" x14ac:dyDescent="0.25">
      <c r="A88" s="21"/>
      <c r="B88" s="21"/>
      <c r="C88" s="21"/>
      <c r="D88" s="21"/>
      <c r="E88" s="31" t="str">
        <f t="shared" si="24"/>
        <v/>
      </c>
      <c r="F88" s="24" t="str">
        <f t="shared" si="15"/>
        <v/>
      </c>
      <c r="G88" s="24" t="str">
        <f>IF(SUM($H$5:H87)&lt;1,C88,"")</f>
        <v/>
      </c>
      <c r="H88" s="24" t="str">
        <f t="shared" si="16"/>
        <v/>
      </c>
      <c r="I88" s="24">
        <f t="shared" si="17"/>
        <v>-1.7161000000000002</v>
      </c>
      <c r="J88" s="24" t="str">
        <f t="shared" si="18"/>
        <v/>
      </c>
      <c r="K88" s="24" t="str">
        <f t="shared" si="19"/>
        <v/>
      </c>
      <c r="L88" s="25">
        <f t="shared" si="20"/>
        <v>3354.3029964352618</v>
      </c>
      <c r="M88" s="26">
        <f t="shared" si="21"/>
        <v>52.772209567198182</v>
      </c>
      <c r="N88" s="24" t="str">
        <f t="shared" si="22"/>
        <v/>
      </c>
      <c r="U88" s="21"/>
      <c r="V88" s="20" t="e">
        <f t="shared" si="23"/>
        <v>#N/A</v>
      </c>
      <c r="W88" s="20" t="e">
        <f t="shared" si="25"/>
        <v>#N/A</v>
      </c>
      <c r="X88" s="20" t="e">
        <f t="shared" si="26"/>
        <v>#N/A</v>
      </c>
    </row>
    <row r="89" spans="1:24" x14ac:dyDescent="0.25">
      <c r="A89" s="21"/>
      <c r="B89" s="21"/>
      <c r="C89" s="21"/>
      <c r="D89" s="21"/>
      <c r="E89" s="31" t="str">
        <f t="shared" si="24"/>
        <v/>
      </c>
      <c r="F89" s="24" t="str">
        <f t="shared" si="15"/>
        <v/>
      </c>
      <c r="G89" s="24" t="str">
        <f>IF(SUM($H$5:H88)&lt;1,C89,"")</f>
        <v/>
      </c>
      <c r="H89" s="24" t="str">
        <f t="shared" si="16"/>
        <v/>
      </c>
      <c r="I89" s="24">
        <f t="shared" si="17"/>
        <v>-1.7161000000000002</v>
      </c>
      <c r="J89" s="24" t="str">
        <f t="shared" si="18"/>
        <v/>
      </c>
      <c r="K89" s="24" t="str">
        <f t="shared" si="19"/>
        <v/>
      </c>
      <c r="L89" s="25">
        <f t="shared" si="20"/>
        <v>3354.3029964352618</v>
      </c>
      <c r="M89" s="26">
        <f t="shared" si="21"/>
        <v>52.772209567198182</v>
      </c>
      <c r="N89" s="24" t="str">
        <f t="shared" si="22"/>
        <v/>
      </c>
      <c r="U89" s="21"/>
      <c r="V89" s="20" t="e">
        <f t="shared" si="23"/>
        <v>#N/A</v>
      </c>
      <c r="W89" s="20" t="e">
        <f t="shared" si="25"/>
        <v>#N/A</v>
      </c>
      <c r="X89" s="20" t="e">
        <f t="shared" si="26"/>
        <v>#N/A</v>
      </c>
    </row>
    <row r="90" spans="1:24" x14ac:dyDescent="0.25">
      <c r="A90" s="21"/>
      <c r="B90" s="21"/>
      <c r="C90" s="21"/>
      <c r="D90" s="21"/>
      <c r="E90" s="31" t="str">
        <f t="shared" si="24"/>
        <v/>
      </c>
      <c r="F90" s="24" t="str">
        <f t="shared" si="15"/>
        <v/>
      </c>
      <c r="G90" s="24" t="str">
        <f>IF(SUM($H$5:H89)&lt;1,C90,"")</f>
        <v/>
      </c>
      <c r="H90" s="24" t="str">
        <f t="shared" si="16"/>
        <v/>
      </c>
      <c r="I90" s="24">
        <f t="shared" si="17"/>
        <v>-1.7161000000000002</v>
      </c>
      <c r="J90" s="24" t="str">
        <f t="shared" si="18"/>
        <v/>
      </c>
      <c r="K90" s="24" t="str">
        <f t="shared" si="19"/>
        <v/>
      </c>
      <c r="L90" s="25">
        <f t="shared" si="20"/>
        <v>3354.3029964352618</v>
      </c>
      <c r="M90" s="26">
        <f t="shared" si="21"/>
        <v>52.772209567198182</v>
      </c>
      <c r="N90" s="24" t="str">
        <f t="shared" si="22"/>
        <v/>
      </c>
      <c r="U90" s="21"/>
      <c r="V90" s="20" t="e">
        <f t="shared" si="23"/>
        <v>#N/A</v>
      </c>
      <c r="W90" s="20" t="e">
        <f t="shared" si="25"/>
        <v>#N/A</v>
      </c>
      <c r="X90" s="20" t="e">
        <f t="shared" si="26"/>
        <v>#N/A</v>
      </c>
    </row>
    <row r="91" spans="1:24" x14ac:dyDescent="0.25">
      <c r="A91" s="21"/>
      <c r="B91" s="21"/>
      <c r="C91" s="21"/>
      <c r="D91" s="21"/>
      <c r="E91" s="31" t="str">
        <f t="shared" si="24"/>
        <v/>
      </c>
      <c r="F91" s="24" t="str">
        <f t="shared" si="15"/>
        <v/>
      </c>
      <c r="G91" s="24" t="str">
        <f>IF(SUM($H$5:H90)&lt;1,C91,"")</f>
        <v/>
      </c>
      <c r="H91" s="24" t="str">
        <f t="shared" si="16"/>
        <v/>
      </c>
      <c r="I91" s="24">
        <f t="shared" si="17"/>
        <v>-1.7161000000000002</v>
      </c>
      <c r="J91" s="24" t="str">
        <f t="shared" si="18"/>
        <v/>
      </c>
      <c r="K91" s="24" t="str">
        <f t="shared" si="19"/>
        <v/>
      </c>
      <c r="L91" s="25">
        <f t="shared" si="20"/>
        <v>3354.3029964352618</v>
      </c>
      <c r="M91" s="26">
        <f t="shared" si="21"/>
        <v>52.772209567198182</v>
      </c>
      <c r="N91" s="24" t="str">
        <f t="shared" si="22"/>
        <v/>
      </c>
      <c r="U91" s="21"/>
      <c r="V91" s="20" t="e">
        <f t="shared" si="23"/>
        <v>#N/A</v>
      </c>
      <c r="W91" s="20" t="e">
        <f t="shared" si="25"/>
        <v>#N/A</v>
      </c>
      <c r="X91" s="20" t="e">
        <f t="shared" si="26"/>
        <v>#N/A</v>
      </c>
    </row>
    <row r="92" spans="1:24" x14ac:dyDescent="0.25">
      <c r="A92" s="21"/>
      <c r="B92" s="21"/>
      <c r="C92" s="21"/>
      <c r="D92" s="21"/>
      <c r="E92" s="31" t="str">
        <f t="shared" si="24"/>
        <v/>
      </c>
      <c r="F92" s="24" t="str">
        <f t="shared" si="15"/>
        <v/>
      </c>
      <c r="G92" s="24" t="str">
        <f>IF(SUM($H$5:H91)&lt;1,C92,"")</f>
        <v/>
      </c>
      <c r="H92" s="24" t="str">
        <f t="shared" si="16"/>
        <v/>
      </c>
      <c r="I92" s="24">
        <f t="shared" si="17"/>
        <v>-1.7161000000000002</v>
      </c>
      <c r="J92" s="24" t="str">
        <f t="shared" si="18"/>
        <v/>
      </c>
      <c r="K92" s="24" t="str">
        <f t="shared" si="19"/>
        <v/>
      </c>
      <c r="L92" s="25">
        <f t="shared" si="20"/>
        <v>3354.3029964352618</v>
      </c>
      <c r="M92" s="26">
        <f t="shared" si="21"/>
        <v>52.772209567198182</v>
      </c>
      <c r="N92" s="24" t="str">
        <f t="shared" si="22"/>
        <v/>
      </c>
      <c r="U92" s="21"/>
      <c r="V92" s="20" t="e">
        <f t="shared" si="23"/>
        <v>#N/A</v>
      </c>
      <c r="W92" s="20" t="e">
        <f t="shared" si="25"/>
        <v>#N/A</v>
      </c>
      <c r="X92" s="20" t="e">
        <f t="shared" si="26"/>
        <v>#N/A</v>
      </c>
    </row>
    <row r="93" spans="1:24" x14ac:dyDescent="0.25">
      <c r="A93" s="21"/>
      <c r="B93" s="21"/>
      <c r="C93" s="21"/>
      <c r="D93" s="21"/>
      <c r="E93" s="31" t="str">
        <f t="shared" si="24"/>
        <v/>
      </c>
      <c r="F93" s="24" t="str">
        <f t="shared" si="15"/>
        <v/>
      </c>
      <c r="G93" s="24" t="str">
        <f>IF(SUM($H$5:H92)&lt;1,C93,"")</f>
        <v/>
      </c>
      <c r="H93" s="24" t="str">
        <f t="shared" si="16"/>
        <v/>
      </c>
      <c r="I93" s="24">
        <f t="shared" si="17"/>
        <v>-1.7161000000000002</v>
      </c>
      <c r="J93" s="24" t="str">
        <f t="shared" si="18"/>
        <v/>
      </c>
      <c r="K93" s="24" t="str">
        <f t="shared" si="19"/>
        <v/>
      </c>
      <c r="L93" s="25">
        <f t="shared" si="20"/>
        <v>3354.3029964352618</v>
      </c>
      <c r="M93" s="26">
        <f t="shared" si="21"/>
        <v>52.772209567198182</v>
      </c>
      <c r="N93" s="24" t="str">
        <f t="shared" si="22"/>
        <v/>
      </c>
      <c r="U93" s="21"/>
      <c r="V93" s="20" t="e">
        <f t="shared" si="23"/>
        <v>#N/A</v>
      </c>
      <c r="W93" s="20" t="e">
        <f t="shared" si="25"/>
        <v>#N/A</v>
      </c>
      <c r="X93" s="20" t="e">
        <f t="shared" si="26"/>
        <v>#N/A</v>
      </c>
    </row>
    <row r="94" spans="1:24" x14ac:dyDescent="0.25">
      <c r="A94" s="21"/>
      <c r="B94" s="21"/>
      <c r="C94" s="21"/>
      <c r="D94" s="21"/>
      <c r="E94" s="31" t="str">
        <f t="shared" si="24"/>
        <v/>
      </c>
      <c r="F94" s="24" t="str">
        <f t="shared" si="15"/>
        <v/>
      </c>
      <c r="G94" s="24" t="str">
        <f>IF(SUM($H$5:H93)&lt;1,C94,"")</f>
        <v/>
      </c>
      <c r="H94" s="24" t="str">
        <f t="shared" si="16"/>
        <v/>
      </c>
      <c r="I94" s="24">
        <f t="shared" si="17"/>
        <v>-1.7161000000000002</v>
      </c>
      <c r="J94" s="24" t="str">
        <f t="shared" si="18"/>
        <v/>
      </c>
      <c r="K94" s="24" t="str">
        <f t="shared" si="19"/>
        <v/>
      </c>
      <c r="L94" s="25">
        <f t="shared" si="20"/>
        <v>3354.3029964352618</v>
      </c>
      <c r="M94" s="26">
        <f t="shared" si="21"/>
        <v>52.772209567198182</v>
      </c>
      <c r="N94" s="24" t="str">
        <f t="shared" si="22"/>
        <v/>
      </c>
      <c r="U94" s="21"/>
      <c r="V94" s="20" t="e">
        <f t="shared" si="23"/>
        <v>#N/A</v>
      </c>
      <c r="W94" s="20" t="e">
        <f t="shared" si="25"/>
        <v>#N/A</v>
      </c>
      <c r="X94" s="20" t="e">
        <f t="shared" si="26"/>
        <v>#N/A</v>
      </c>
    </row>
    <row r="95" spans="1:24" x14ac:dyDescent="0.25">
      <c r="A95" s="21"/>
      <c r="B95" s="21"/>
      <c r="C95" s="21"/>
      <c r="D95" s="21"/>
      <c r="E95" s="31" t="str">
        <f t="shared" si="24"/>
        <v/>
      </c>
      <c r="F95" s="24" t="str">
        <f t="shared" si="15"/>
        <v/>
      </c>
      <c r="G95" s="24" t="str">
        <f>IF(SUM($H$5:H94)&lt;1,C95,"")</f>
        <v/>
      </c>
      <c r="H95" s="24" t="str">
        <f t="shared" si="16"/>
        <v/>
      </c>
      <c r="I95" s="24">
        <f t="shared" si="17"/>
        <v>-1.7161000000000002</v>
      </c>
      <c r="J95" s="24" t="str">
        <f t="shared" si="18"/>
        <v/>
      </c>
      <c r="K95" s="24" t="str">
        <f t="shared" si="19"/>
        <v/>
      </c>
      <c r="L95" s="25">
        <f t="shared" si="20"/>
        <v>3354.3029964352618</v>
      </c>
      <c r="M95" s="26">
        <f t="shared" si="21"/>
        <v>52.772209567198182</v>
      </c>
      <c r="N95" s="24" t="str">
        <f t="shared" si="22"/>
        <v/>
      </c>
      <c r="U95" s="21"/>
      <c r="V95" s="20" t="e">
        <f t="shared" si="23"/>
        <v>#N/A</v>
      </c>
      <c r="W95" s="20" t="e">
        <f t="shared" si="25"/>
        <v>#N/A</v>
      </c>
      <c r="X95" s="20" t="e">
        <f t="shared" si="26"/>
        <v>#N/A</v>
      </c>
    </row>
    <row r="96" spans="1:24" x14ac:dyDescent="0.25">
      <c r="A96" s="21"/>
      <c r="B96" s="21"/>
      <c r="C96" s="21"/>
      <c r="D96" s="21"/>
      <c r="E96" s="31" t="str">
        <f t="shared" si="24"/>
        <v/>
      </c>
      <c r="F96" s="24" t="str">
        <f t="shared" si="15"/>
        <v/>
      </c>
      <c r="G96" s="24" t="str">
        <f>IF(SUM($H$5:H95)&lt;1,C96,"")</f>
        <v/>
      </c>
      <c r="H96" s="24" t="str">
        <f t="shared" si="16"/>
        <v/>
      </c>
      <c r="I96" s="24">
        <f t="shared" si="17"/>
        <v>-1.7161000000000002</v>
      </c>
      <c r="J96" s="24" t="str">
        <f t="shared" si="18"/>
        <v/>
      </c>
      <c r="K96" s="24" t="str">
        <f t="shared" si="19"/>
        <v/>
      </c>
      <c r="L96" s="25">
        <f t="shared" si="20"/>
        <v>3354.3029964352618</v>
      </c>
      <c r="M96" s="26">
        <f t="shared" si="21"/>
        <v>52.772209567198182</v>
      </c>
      <c r="N96" s="24" t="str">
        <f t="shared" si="22"/>
        <v/>
      </c>
      <c r="U96" s="21"/>
      <c r="V96" s="20" t="e">
        <f t="shared" si="23"/>
        <v>#N/A</v>
      </c>
      <c r="W96" s="20" t="e">
        <f t="shared" si="25"/>
        <v>#N/A</v>
      </c>
      <c r="X96" s="20" t="e">
        <f t="shared" si="26"/>
        <v>#N/A</v>
      </c>
    </row>
    <row r="97" spans="1:24" x14ac:dyDescent="0.25">
      <c r="A97" s="21"/>
      <c r="B97" s="21"/>
      <c r="C97" s="21"/>
      <c r="D97" s="21"/>
      <c r="E97" s="31" t="str">
        <f t="shared" si="24"/>
        <v/>
      </c>
      <c r="F97" s="24" t="str">
        <f t="shared" si="15"/>
        <v/>
      </c>
      <c r="G97" s="24" t="str">
        <f>IF(SUM($H$5:H96)&lt;1,C97,"")</f>
        <v/>
      </c>
      <c r="H97" s="24" t="str">
        <f t="shared" si="16"/>
        <v/>
      </c>
      <c r="I97" s="24">
        <f t="shared" si="17"/>
        <v>-1.7161000000000002</v>
      </c>
      <c r="J97" s="24" t="str">
        <f t="shared" si="18"/>
        <v/>
      </c>
      <c r="K97" s="24" t="str">
        <f t="shared" si="19"/>
        <v/>
      </c>
      <c r="L97" s="25">
        <f t="shared" si="20"/>
        <v>3354.3029964352618</v>
      </c>
      <c r="M97" s="26">
        <f t="shared" si="21"/>
        <v>52.772209567198182</v>
      </c>
      <c r="N97" s="24" t="str">
        <f t="shared" si="22"/>
        <v/>
      </c>
      <c r="U97" s="21"/>
      <c r="V97" s="20" t="e">
        <f t="shared" si="23"/>
        <v>#N/A</v>
      </c>
      <c r="W97" s="20" t="e">
        <f t="shared" si="25"/>
        <v>#N/A</v>
      </c>
      <c r="X97" s="20" t="e">
        <f t="shared" si="26"/>
        <v>#N/A</v>
      </c>
    </row>
    <row r="98" spans="1:24" x14ac:dyDescent="0.25">
      <c r="A98" s="21"/>
      <c r="B98" s="21"/>
      <c r="C98" s="21"/>
      <c r="D98" s="21"/>
      <c r="E98" s="31" t="str">
        <f t="shared" si="24"/>
        <v/>
      </c>
      <c r="F98" s="24" t="str">
        <f t="shared" si="15"/>
        <v/>
      </c>
      <c r="G98" s="24" t="str">
        <f>IF(SUM($H$5:H97)&lt;1,C98,"")</f>
        <v/>
      </c>
      <c r="H98" s="24" t="str">
        <f t="shared" si="16"/>
        <v/>
      </c>
      <c r="I98" s="24">
        <f t="shared" si="17"/>
        <v>-1.7161000000000002</v>
      </c>
      <c r="J98" s="24" t="str">
        <f t="shared" si="18"/>
        <v/>
      </c>
      <c r="K98" s="24" t="str">
        <f t="shared" si="19"/>
        <v/>
      </c>
      <c r="L98" s="25">
        <f t="shared" si="20"/>
        <v>3354.3029964352618</v>
      </c>
      <c r="M98" s="26">
        <f t="shared" si="21"/>
        <v>52.772209567198182</v>
      </c>
      <c r="N98" s="24" t="str">
        <f t="shared" si="22"/>
        <v/>
      </c>
      <c r="U98" s="21"/>
      <c r="V98" s="20" t="e">
        <f t="shared" si="23"/>
        <v>#N/A</v>
      </c>
      <c r="W98" s="20" t="e">
        <f t="shared" si="25"/>
        <v>#N/A</v>
      </c>
      <c r="X98" s="20" t="e">
        <f t="shared" si="26"/>
        <v>#N/A</v>
      </c>
    </row>
    <row r="99" spans="1:24" x14ac:dyDescent="0.25">
      <c r="A99" s="21"/>
      <c r="B99" s="21"/>
      <c r="C99" s="21"/>
      <c r="D99" s="21"/>
      <c r="E99" s="31" t="str">
        <f t="shared" si="24"/>
        <v/>
      </c>
      <c r="F99" s="24" t="str">
        <f t="shared" si="15"/>
        <v/>
      </c>
      <c r="G99" s="24" t="str">
        <f>IF(SUM($H$5:H98)&lt;1,C99,"")</f>
        <v/>
      </c>
      <c r="H99" s="24" t="str">
        <f t="shared" si="16"/>
        <v/>
      </c>
      <c r="I99" s="24">
        <f t="shared" si="17"/>
        <v>-1.7161000000000002</v>
      </c>
      <c r="J99" s="24" t="str">
        <f t="shared" si="18"/>
        <v/>
      </c>
      <c r="K99" s="24" t="str">
        <f t="shared" si="19"/>
        <v/>
      </c>
      <c r="L99" s="25">
        <f t="shared" si="20"/>
        <v>3354.3029964352618</v>
      </c>
      <c r="M99" s="26">
        <f t="shared" si="21"/>
        <v>52.772209567198182</v>
      </c>
      <c r="N99" s="24" t="str">
        <f t="shared" si="22"/>
        <v/>
      </c>
      <c r="U99" s="21"/>
      <c r="V99" s="20" t="e">
        <f t="shared" si="23"/>
        <v>#N/A</v>
      </c>
      <c r="W99" s="20" t="e">
        <f t="shared" si="25"/>
        <v>#N/A</v>
      </c>
      <c r="X99" s="20" t="e">
        <f t="shared" si="26"/>
        <v>#N/A</v>
      </c>
    </row>
    <row r="100" spans="1:24" x14ac:dyDescent="0.25">
      <c r="A100" s="21"/>
      <c r="B100" s="21"/>
      <c r="C100" s="21"/>
      <c r="D100" s="21"/>
      <c r="E100" s="31" t="str">
        <f t="shared" si="24"/>
        <v/>
      </c>
      <c r="F100" s="24" t="str">
        <f t="shared" si="15"/>
        <v/>
      </c>
      <c r="G100" s="24" t="str">
        <f>IF(SUM($H$5:H99)&lt;1,C100,"")</f>
        <v/>
      </c>
      <c r="H100" s="24" t="str">
        <f t="shared" si="16"/>
        <v/>
      </c>
      <c r="I100" s="24">
        <f t="shared" si="17"/>
        <v>-1.7161000000000002</v>
      </c>
      <c r="J100" s="24" t="str">
        <f t="shared" si="18"/>
        <v/>
      </c>
      <c r="K100" s="24" t="str">
        <f t="shared" si="19"/>
        <v/>
      </c>
      <c r="L100" s="25">
        <f t="shared" si="20"/>
        <v>3354.3029964352618</v>
      </c>
      <c r="M100" s="26">
        <f t="shared" si="21"/>
        <v>52.772209567198182</v>
      </c>
      <c r="N100" s="24" t="str">
        <f t="shared" si="22"/>
        <v/>
      </c>
      <c r="U100" s="21"/>
      <c r="V100" s="20" t="e">
        <f t="shared" si="23"/>
        <v>#N/A</v>
      </c>
      <c r="W100" s="20" t="e">
        <f t="shared" si="25"/>
        <v>#N/A</v>
      </c>
      <c r="X100" s="20" t="e">
        <f t="shared" si="26"/>
        <v>#N/A</v>
      </c>
    </row>
    <row r="101" spans="1:24" x14ac:dyDescent="0.25">
      <c r="A101" s="21"/>
      <c r="B101" s="21"/>
      <c r="C101" s="21"/>
      <c r="D101" s="21"/>
      <c r="E101" s="31" t="str">
        <f t="shared" si="24"/>
        <v/>
      </c>
      <c r="F101" s="24" t="str">
        <f t="shared" si="15"/>
        <v/>
      </c>
      <c r="G101" s="24" t="str">
        <f>IF(SUM($H$5:H100)&lt;1,C101,"")</f>
        <v/>
      </c>
      <c r="H101" s="24" t="str">
        <f t="shared" si="16"/>
        <v/>
      </c>
      <c r="I101" s="24">
        <f t="shared" si="17"/>
        <v>-1.7161000000000002</v>
      </c>
      <c r="J101" s="24" t="str">
        <f t="shared" si="18"/>
        <v/>
      </c>
      <c r="K101" s="24" t="str">
        <f t="shared" si="19"/>
        <v/>
      </c>
      <c r="L101" s="25">
        <f t="shared" si="20"/>
        <v>3354.3029964352618</v>
      </c>
      <c r="M101" s="26">
        <f t="shared" si="21"/>
        <v>52.772209567198182</v>
      </c>
      <c r="N101" s="24" t="str">
        <f t="shared" si="22"/>
        <v/>
      </c>
      <c r="U101" s="21"/>
      <c r="V101" s="20" t="e">
        <f t="shared" si="23"/>
        <v>#N/A</v>
      </c>
      <c r="W101" s="20" t="e">
        <f t="shared" si="25"/>
        <v>#N/A</v>
      </c>
      <c r="X101" s="20" t="e">
        <f t="shared" si="26"/>
        <v>#N/A</v>
      </c>
    </row>
    <row r="102" spans="1:24" x14ac:dyDescent="0.25">
      <c r="A102" s="21"/>
      <c r="B102" s="21"/>
      <c r="C102" s="21"/>
      <c r="D102" s="21"/>
      <c r="E102" s="31" t="str">
        <f t="shared" si="24"/>
        <v/>
      </c>
      <c r="F102" s="24" t="str">
        <f t="shared" si="15"/>
        <v/>
      </c>
      <c r="G102" s="24" t="str">
        <f>IF(SUM($H$5:H101)&lt;1,C102,"")</f>
        <v/>
      </c>
      <c r="H102" s="24" t="str">
        <f t="shared" si="16"/>
        <v/>
      </c>
      <c r="I102" s="24">
        <f t="shared" si="17"/>
        <v>-1.7161000000000002</v>
      </c>
      <c r="J102" s="24" t="str">
        <f t="shared" si="18"/>
        <v/>
      </c>
      <c r="K102" s="24" t="str">
        <f t="shared" si="19"/>
        <v/>
      </c>
      <c r="L102" s="25">
        <f t="shared" si="20"/>
        <v>3354.3029964352618</v>
      </c>
      <c r="M102" s="26">
        <f t="shared" si="21"/>
        <v>52.772209567198182</v>
      </c>
      <c r="N102" s="24" t="str">
        <f t="shared" si="22"/>
        <v/>
      </c>
      <c r="U102" s="21"/>
      <c r="V102" s="20" t="e">
        <f t="shared" si="23"/>
        <v>#N/A</v>
      </c>
      <c r="W102" s="20" t="e">
        <f t="shared" si="25"/>
        <v>#N/A</v>
      </c>
      <c r="X102" s="20" t="e">
        <f t="shared" si="26"/>
        <v>#N/A</v>
      </c>
    </row>
    <row r="103" spans="1:24" x14ac:dyDescent="0.25">
      <c r="A103" s="21"/>
      <c r="B103" s="21"/>
      <c r="C103" s="21"/>
      <c r="D103" s="21"/>
      <c r="E103" s="31" t="str">
        <f t="shared" si="24"/>
        <v/>
      </c>
      <c r="F103" s="24" t="str">
        <f t="shared" si="15"/>
        <v/>
      </c>
      <c r="G103" s="24" t="str">
        <f>IF(SUM($H$5:H102)&lt;1,C103,"")</f>
        <v/>
      </c>
      <c r="H103" s="24" t="str">
        <f t="shared" si="16"/>
        <v/>
      </c>
      <c r="I103" s="24">
        <f t="shared" si="17"/>
        <v>-1.7161000000000002</v>
      </c>
      <c r="J103" s="24" t="str">
        <f t="shared" si="18"/>
        <v/>
      </c>
      <c r="K103" s="24" t="str">
        <f t="shared" si="19"/>
        <v/>
      </c>
      <c r="L103" s="25">
        <f t="shared" si="20"/>
        <v>3354.3029964352618</v>
      </c>
      <c r="M103" s="26">
        <f t="shared" si="21"/>
        <v>52.772209567198182</v>
      </c>
      <c r="N103" s="24" t="str">
        <f t="shared" si="22"/>
        <v/>
      </c>
      <c r="U103" s="21"/>
      <c r="V103" s="20" t="e">
        <f t="shared" si="23"/>
        <v>#N/A</v>
      </c>
      <c r="W103" s="20" t="e">
        <f t="shared" si="25"/>
        <v>#N/A</v>
      </c>
      <c r="X103" s="20" t="e">
        <f t="shared" si="26"/>
        <v>#N/A</v>
      </c>
    </row>
    <row r="104" spans="1:24" x14ac:dyDescent="0.25">
      <c r="A104" s="21"/>
      <c r="B104" s="21"/>
      <c r="C104" s="21"/>
      <c r="D104" s="21"/>
      <c r="E104" s="31" t="str">
        <f t="shared" si="24"/>
        <v/>
      </c>
      <c r="F104" s="24" t="str">
        <f t="shared" si="15"/>
        <v/>
      </c>
      <c r="G104" s="24" t="str">
        <f>IF(SUM($H$5:H103)&lt;1,C104,"")</f>
        <v/>
      </c>
      <c r="H104" s="24" t="str">
        <f t="shared" si="16"/>
        <v/>
      </c>
      <c r="I104" s="24">
        <f t="shared" si="17"/>
        <v>-1.7161000000000002</v>
      </c>
      <c r="J104" s="24" t="str">
        <f t="shared" si="18"/>
        <v/>
      </c>
      <c r="K104" s="24" t="str">
        <f t="shared" si="19"/>
        <v/>
      </c>
      <c r="L104" s="25">
        <f t="shared" si="20"/>
        <v>3354.3029964352618</v>
      </c>
      <c r="M104" s="26">
        <f t="shared" si="21"/>
        <v>52.772209567198182</v>
      </c>
      <c r="N104" s="24" t="str">
        <f t="shared" si="22"/>
        <v/>
      </c>
      <c r="U104" s="21"/>
      <c r="V104" s="20" t="e">
        <f t="shared" si="23"/>
        <v>#N/A</v>
      </c>
      <c r="W104" s="20" t="e">
        <f t="shared" si="25"/>
        <v>#N/A</v>
      </c>
      <c r="X104" s="20" t="e">
        <f t="shared" si="26"/>
        <v>#N/A</v>
      </c>
    </row>
    <row r="105" spans="1:24" x14ac:dyDescent="0.25">
      <c r="A105" s="21"/>
      <c r="B105" s="21"/>
      <c r="C105" s="21"/>
      <c r="D105" s="21"/>
      <c r="E105" s="31" t="str">
        <f t="shared" si="24"/>
        <v/>
      </c>
      <c r="F105" s="24" t="str">
        <f t="shared" si="15"/>
        <v/>
      </c>
      <c r="G105" s="24" t="str">
        <f>IF(SUM($H$5:H104)&lt;1,C105,"")</f>
        <v/>
      </c>
      <c r="H105" s="24" t="str">
        <f t="shared" si="16"/>
        <v/>
      </c>
      <c r="I105" s="24">
        <f t="shared" si="17"/>
        <v>-1.7161000000000002</v>
      </c>
      <c r="J105" s="24" t="str">
        <f t="shared" si="18"/>
        <v/>
      </c>
      <c r="K105" s="24" t="str">
        <f t="shared" si="19"/>
        <v/>
      </c>
      <c r="L105" s="25">
        <f t="shared" si="20"/>
        <v>3354.3029964352618</v>
      </c>
      <c r="M105" s="26">
        <f t="shared" si="21"/>
        <v>52.772209567198182</v>
      </c>
      <c r="N105" s="24" t="str">
        <f t="shared" si="22"/>
        <v/>
      </c>
      <c r="U105" s="21"/>
      <c r="V105" s="20" t="e">
        <f t="shared" si="23"/>
        <v>#N/A</v>
      </c>
      <c r="W105" s="20" t="e">
        <f t="shared" si="25"/>
        <v>#N/A</v>
      </c>
      <c r="X105" s="20" t="e">
        <f t="shared" si="26"/>
        <v>#N/A</v>
      </c>
    </row>
  </sheetData>
  <mergeCells count="24">
    <mergeCell ref="X3:X4"/>
    <mergeCell ref="A2:D2"/>
    <mergeCell ref="U2:X2"/>
    <mergeCell ref="Q27:Q28"/>
    <mergeCell ref="Q39:Q40"/>
    <mergeCell ref="Q41:Q42"/>
    <mergeCell ref="U3:U4"/>
    <mergeCell ref="V3:V4"/>
    <mergeCell ref="W3:W4"/>
    <mergeCell ref="I3:I4"/>
    <mergeCell ref="J3:K3"/>
    <mergeCell ref="L3:L4"/>
    <mergeCell ref="M3:M4"/>
    <mergeCell ref="N3:N4"/>
    <mergeCell ref="P25:P28"/>
    <mergeCell ref="B1:M1"/>
    <mergeCell ref="E2:N2"/>
    <mergeCell ref="A3:A4"/>
    <mergeCell ref="B3:B4"/>
    <mergeCell ref="C3:C4"/>
    <mergeCell ref="D3:D4"/>
    <mergeCell ref="E3:E4"/>
    <mergeCell ref="F3:F4"/>
    <mergeCell ref="G3:G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04"/>
  <sheetViews>
    <sheetView zoomScale="55" zoomScaleNormal="55" workbookViewId="0">
      <selection activeCell="AG39" sqref="AG39"/>
    </sheetView>
  </sheetViews>
  <sheetFormatPr defaultRowHeight="16.5" x14ac:dyDescent="0.3"/>
  <cols>
    <col min="1" max="1" width="7.375" customWidth="1"/>
    <col min="2" max="2" width="8.375" style="6" customWidth="1"/>
    <col min="3" max="6" width="8.375" customWidth="1"/>
  </cols>
  <sheetData>
    <row r="2" spans="1:10" x14ac:dyDescent="0.3">
      <c r="A2" s="10"/>
      <c r="B2" s="92" t="s">
        <v>5</v>
      </c>
      <c r="C2" s="93"/>
      <c r="D2" s="93"/>
      <c r="E2" s="93"/>
      <c r="F2" s="93"/>
    </row>
    <row r="3" spans="1:10" x14ac:dyDescent="0.3">
      <c r="A3" s="4" t="s">
        <v>10</v>
      </c>
      <c r="B3" s="9" t="s">
        <v>6</v>
      </c>
      <c r="C3" s="9" t="s">
        <v>8</v>
      </c>
      <c r="D3" s="4" t="s">
        <v>10</v>
      </c>
      <c r="E3" s="3" t="s">
        <v>9</v>
      </c>
      <c r="F3" s="3" t="s">
        <v>7</v>
      </c>
    </row>
    <row r="4" spans="1:10" x14ac:dyDescent="0.3">
      <c r="A4" s="5">
        <v>0</v>
      </c>
      <c r="B4" s="2">
        <v>1</v>
      </c>
      <c r="C4" s="2">
        <v>1</v>
      </c>
      <c r="D4" s="5">
        <v>0</v>
      </c>
      <c r="E4" s="2">
        <v>1</v>
      </c>
      <c r="F4" s="2">
        <v>1</v>
      </c>
    </row>
    <row r="5" spans="1:10" x14ac:dyDescent="0.3">
      <c r="A5" s="5">
        <v>0.01</v>
      </c>
      <c r="B5" s="2">
        <v>1</v>
      </c>
      <c r="C5" s="2">
        <v>1</v>
      </c>
      <c r="D5" s="5">
        <v>0.01</v>
      </c>
      <c r="E5" s="2">
        <v>1</v>
      </c>
      <c r="F5" s="2">
        <v>1</v>
      </c>
      <c r="I5" t="s">
        <v>11</v>
      </c>
      <c r="J5" t="s">
        <v>12</v>
      </c>
    </row>
    <row r="6" spans="1:10" x14ac:dyDescent="0.3">
      <c r="A6" s="5">
        <v>0.02</v>
      </c>
      <c r="B6" s="2">
        <v>1</v>
      </c>
      <c r="C6" s="2">
        <v>1</v>
      </c>
      <c r="D6" s="5">
        <v>0.02</v>
      </c>
      <c r="E6" s="2">
        <v>1</v>
      </c>
      <c r="F6" s="2">
        <v>1</v>
      </c>
      <c r="H6" s="94" t="s">
        <v>1</v>
      </c>
      <c r="I6" s="1">
        <v>0</v>
      </c>
      <c r="J6" s="1">
        <v>1</v>
      </c>
    </row>
    <row r="7" spans="1:10" x14ac:dyDescent="0.3">
      <c r="A7" s="5">
        <v>0.03</v>
      </c>
      <c r="B7" s="2">
        <v>1</v>
      </c>
      <c r="C7" s="2">
        <v>1</v>
      </c>
      <c r="D7" s="5">
        <v>0.03</v>
      </c>
      <c r="E7" s="2">
        <v>1</v>
      </c>
      <c r="F7" s="2">
        <v>1</v>
      </c>
      <c r="H7" s="94"/>
      <c r="I7" s="1">
        <v>0.5</v>
      </c>
      <c r="J7" s="1">
        <v>1</v>
      </c>
    </row>
    <row r="8" spans="1:10" x14ac:dyDescent="0.3">
      <c r="A8" s="5">
        <v>0.04</v>
      </c>
      <c r="B8" s="2">
        <v>1</v>
      </c>
      <c r="C8" s="2">
        <v>1</v>
      </c>
      <c r="D8" s="5">
        <v>0.04</v>
      </c>
      <c r="E8" s="2">
        <v>1</v>
      </c>
      <c r="F8" s="2">
        <v>1</v>
      </c>
    </row>
    <row r="9" spans="1:10" x14ac:dyDescent="0.3">
      <c r="A9" s="5">
        <v>0.05</v>
      </c>
      <c r="B9" s="2">
        <v>1</v>
      </c>
      <c r="C9" s="2">
        <v>1</v>
      </c>
      <c r="D9" s="5">
        <v>0.05</v>
      </c>
      <c r="E9" s="2">
        <v>1</v>
      </c>
      <c r="F9" s="2">
        <v>1</v>
      </c>
    </row>
    <row r="10" spans="1:10" x14ac:dyDescent="0.3">
      <c r="A10" s="5">
        <v>0.06</v>
      </c>
      <c r="B10" s="2">
        <v>1</v>
      </c>
      <c r="C10" s="2">
        <v>1</v>
      </c>
      <c r="D10" s="5">
        <v>0.06</v>
      </c>
      <c r="E10" s="2">
        <v>1</v>
      </c>
      <c r="F10" s="2">
        <v>1</v>
      </c>
    </row>
    <row r="11" spans="1:10" x14ac:dyDescent="0.3">
      <c r="A11" s="5">
        <v>7.0000000000000007E-2</v>
      </c>
      <c r="B11" s="2">
        <v>1</v>
      </c>
      <c r="C11" s="2">
        <v>1</v>
      </c>
      <c r="D11" s="5">
        <v>7.0000000000000007E-2</v>
      </c>
      <c r="E11" s="2">
        <v>1</v>
      </c>
      <c r="F11" s="2">
        <v>1</v>
      </c>
    </row>
    <row r="12" spans="1:10" x14ac:dyDescent="0.3">
      <c r="A12" s="5">
        <v>0.08</v>
      </c>
      <c r="B12" s="2">
        <v>1</v>
      </c>
      <c r="C12" s="2">
        <v>1</v>
      </c>
      <c r="D12" s="5">
        <v>0.08</v>
      </c>
      <c r="E12" s="2">
        <v>1</v>
      </c>
      <c r="F12" s="2">
        <v>1</v>
      </c>
    </row>
    <row r="13" spans="1:10" x14ac:dyDescent="0.3">
      <c r="A13" s="5">
        <v>0.09</v>
      </c>
      <c r="B13" s="2">
        <v>1</v>
      </c>
      <c r="C13" s="2">
        <v>1</v>
      </c>
      <c r="D13" s="5">
        <v>0.09</v>
      </c>
      <c r="E13" s="2">
        <v>1</v>
      </c>
      <c r="F13" s="2">
        <v>1</v>
      </c>
    </row>
    <row r="14" spans="1:10" x14ac:dyDescent="0.3">
      <c r="A14" s="5">
        <v>0.1</v>
      </c>
      <c r="B14" s="2">
        <v>1</v>
      </c>
      <c r="C14" s="2">
        <v>1</v>
      </c>
      <c r="D14" s="5">
        <v>0.1</v>
      </c>
      <c r="E14" s="2">
        <v>1</v>
      </c>
      <c r="F14" s="2">
        <v>1</v>
      </c>
    </row>
    <row r="15" spans="1:10" x14ac:dyDescent="0.3">
      <c r="A15" s="5">
        <v>0.11</v>
      </c>
      <c r="B15" s="2">
        <v>1</v>
      </c>
      <c r="C15" s="2">
        <v>1</v>
      </c>
      <c r="D15" s="5">
        <v>0.11</v>
      </c>
      <c r="E15" s="2">
        <v>1</v>
      </c>
      <c r="F15" s="2">
        <v>1</v>
      </c>
    </row>
    <row r="16" spans="1:10" x14ac:dyDescent="0.3">
      <c r="A16" s="5">
        <v>0.12</v>
      </c>
      <c r="B16" s="2">
        <v>1</v>
      </c>
      <c r="C16" s="2">
        <v>1</v>
      </c>
      <c r="D16" s="5">
        <v>0.12</v>
      </c>
      <c r="E16" s="2">
        <v>1</v>
      </c>
      <c r="F16" s="2">
        <v>1</v>
      </c>
    </row>
    <row r="17" spans="1:6" x14ac:dyDescent="0.3">
      <c r="A17" s="5">
        <v>0.13</v>
      </c>
      <c r="B17" s="2">
        <v>1</v>
      </c>
      <c r="C17" s="2">
        <v>1</v>
      </c>
      <c r="D17" s="5">
        <v>0.13</v>
      </c>
      <c r="E17" s="2">
        <v>1</v>
      </c>
      <c r="F17" s="2">
        <v>1</v>
      </c>
    </row>
    <row r="18" spans="1:6" x14ac:dyDescent="0.3">
      <c r="A18" s="5">
        <v>0.14000000000000001</v>
      </c>
      <c r="B18" s="2">
        <v>1</v>
      </c>
      <c r="C18" s="2">
        <v>1</v>
      </c>
      <c r="D18" s="5">
        <v>0.14000000000000001</v>
      </c>
      <c r="E18" s="2">
        <v>1</v>
      </c>
      <c r="F18" s="2">
        <v>1</v>
      </c>
    </row>
    <row r="19" spans="1:6" x14ac:dyDescent="0.3">
      <c r="A19" s="5">
        <v>0.15</v>
      </c>
      <c r="B19" s="2">
        <v>1</v>
      </c>
      <c r="C19" s="2">
        <v>1</v>
      </c>
      <c r="D19" s="5">
        <v>0.15</v>
      </c>
      <c r="E19" s="2">
        <v>1</v>
      </c>
      <c r="F19" s="2">
        <v>1</v>
      </c>
    </row>
    <row r="20" spans="1:6" x14ac:dyDescent="0.3">
      <c r="A20" s="5">
        <v>0.16</v>
      </c>
      <c r="B20" s="2">
        <v>1</v>
      </c>
      <c r="C20" s="2">
        <v>1</v>
      </c>
      <c r="D20" s="5">
        <v>0.16</v>
      </c>
      <c r="E20" s="2">
        <v>1</v>
      </c>
      <c r="F20" s="2">
        <v>1</v>
      </c>
    </row>
    <row r="21" spans="1:6" x14ac:dyDescent="0.3">
      <c r="A21" s="5">
        <v>0.17</v>
      </c>
      <c r="B21" s="2">
        <v>1</v>
      </c>
      <c r="C21" s="2">
        <v>1</v>
      </c>
      <c r="D21" s="5">
        <v>0.17</v>
      </c>
      <c r="E21" s="2">
        <v>1</v>
      </c>
      <c r="F21" s="2">
        <v>1</v>
      </c>
    </row>
    <row r="22" spans="1:6" x14ac:dyDescent="0.3">
      <c r="A22" s="5">
        <v>0.18</v>
      </c>
      <c r="B22" s="2">
        <v>1</v>
      </c>
      <c r="C22" s="2">
        <v>1</v>
      </c>
      <c r="D22" s="5">
        <v>0.18</v>
      </c>
      <c r="E22" s="2">
        <v>1</v>
      </c>
      <c r="F22" s="2">
        <v>1</v>
      </c>
    </row>
    <row r="23" spans="1:6" x14ac:dyDescent="0.3">
      <c r="A23" s="5">
        <v>0.19</v>
      </c>
      <c r="B23" s="2">
        <v>1</v>
      </c>
      <c r="C23" s="2">
        <v>1</v>
      </c>
      <c r="D23" s="5">
        <v>0.19</v>
      </c>
      <c r="E23" s="2">
        <v>1</v>
      </c>
      <c r="F23" s="2">
        <v>1</v>
      </c>
    </row>
    <row r="24" spans="1:6" x14ac:dyDescent="0.3">
      <c r="A24" s="5">
        <v>0.2</v>
      </c>
      <c r="B24" s="2">
        <v>1</v>
      </c>
      <c r="C24" s="2">
        <v>1</v>
      </c>
      <c r="D24" s="5">
        <v>0.2</v>
      </c>
      <c r="E24" s="2">
        <v>1</v>
      </c>
      <c r="F24" s="2">
        <v>1</v>
      </c>
    </row>
    <row r="25" spans="1:6" x14ac:dyDescent="0.3">
      <c r="A25" s="5">
        <v>0.21</v>
      </c>
      <c r="B25" s="2">
        <v>1</v>
      </c>
      <c r="C25" s="2">
        <v>1</v>
      </c>
      <c r="D25" s="5">
        <v>0.21</v>
      </c>
      <c r="E25" s="2">
        <v>1</v>
      </c>
      <c r="F25" s="2">
        <v>1</v>
      </c>
    </row>
    <row r="26" spans="1:6" x14ac:dyDescent="0.3">
      <c r="A26" s="5">
        <v>0.22</v>
      </c>
      <c r="B26" s="2">
        <v>1</v>
      </c>
      <c r="C26" s="2">
        <v>1</v>
      </c>
      <c r="D26" s="5">
        <v>0.22</v>
      </c>
      <c r="E26" s="2">
        <v>1</v>
      </c>
      <c r="F26" s="2">
        <v>1</v>
      </c>
    </row>
    <row r="27" spans="1:6" x14ac:dyDescent="0.3">
      <c r="A27" s="5">
        <v>0.23</v>
      </c>
      <c r="B27" s="2">
        <v>1</v>
      </c>
      <c r="C27" s="2">
        <v>1</v>
      </c>
      <c r="D27" s="5">
        <v>0.23</v>
      </c>
      <c r="E27" s="2">
        <v>1</v>
      </c>
      <c r="F27" s="2">
        <v>1</v>
      </c>
    </row>
    <row r="28" spans="1:6" x14ac:dyDescent="0.3">
      <c r="A28" s="5">
        <v>0.24</v>
      </c>
      <c r="B28" s="2">
        <v>1</v>
      </c>
      <c r="C28" s="2">
        <v>1</v>
      </c>
      <c r="D28" s="5">
        <v>0.24</v>
      </c>
      <c r="E28" s="2">
        <v>1</v>
      </c>
      <c r="F28" s="2">
        <v>1</v>
      </c>
    </row>
    <row r="29" spans="1:6" x14ac:dyDescent="0.3">
      <c r="A29" s="5">
        <v>0.25</v>
      </c>
      <c r="B29" s="2">
        <v>1</v>
      </c>
      <c r="C29" s="2">
        <v>1</v>
      </c>
      <c r="D29" s="5">
        <v>0.25</v>
      </c>
      <c r="E29" s="2">
        <v>1</v>
      </c>
      <c r="F29" s="2">
        <v>1</v>
      </c>
    </row>
    <row r="30" spans="1:6" x14ac:dyDescent="0.3">
      <c r="A30" s="5">
        <v>0.26</v>
      </c>
      <c r="B30" s="2">
        <v>1</v>
      </c>
      <c r="C30" s="2">
        <v>1</v>
      </c>
      <c r="D30" s="5">
        <v>0.26</v>
      </c>
      <c r="E30" s="2">
        <v>1</v>
      </c>
      <c r="F30" s="2">
        <v>1</v>
      </c>
    </row>
    <row r="31" spans="1:6" x14ac:dyDescent="0.3">
      <c r="A31" s="5">
        <v>0.27</v>
      </c>
      <c r="B31" s="2">
        <v>1</v>
      </c>
      <c r="C31" s="2">
        <v>1</v>
      </c>
      <c r="D31" s="5">
        <v>0.27</v>
      </c>
      <c r="E31" s="2">
        <v>1</v>
      </c>
      <c r="F31" s="2">
        <v>1</v>
      </c>
    </row>
    <row r="32" spans="1:6" x14ac:dyDescent="0.3">
      <c r="A32" s="5">
        <v>0.28000000000000003</v>
      </c>
      <c r="B32" s="2">
        <v>1</v>
      </c>
      <c r="C32" s="2">
        <v>1</v>
      </c>
      <c r="D32" s="5">
        <v>0.28000000000000003</v>
      </c>
      <c r="E32" s="2">
        <v>1</v>
      </c>
      <c r="F32" s="2">
        <v>1</v>
      </c>
    </row>
    <row r="33" spans="1:10" x14ac:dyDescent="0.3">
      <c r="A33" s="5">
        <v>0.28999999999999998</v>
      </c>
      <c r="B33" s="2">
        <v>1</v>
      </c>
      <c r="C33" s="2">
        <v>1</v>
      </c>
      <c r="D33" s="5">
        <v>0.28999999999999998</v>
      </c>
      <c r="E33" s="2">
        <v>1</v>
      </c>
      <c r="F33" s="2">
        <v>1</v>
      </c>
    </row>
    <row r="34" spans="1:10" x14ac:dyDescent="0.3">
      <c r="A34" s="5">
        <v>0.3</v>
      </c>
      <c r="B34" s="2">
        <v>1</v>
      </c>
      <c r="C34" s="2">
        <v>1</v>
      </c>
      <c r="D34" s="5">
        <v>0.3</v>
      </c>
      <c r="E34" s="2">
        <v>1</v>
      </c>
      <c r="F34" s="2">
        <v>1</v>
      </c>
    </row>
    <row r="35" spans="1:10" x14ac:dyDescent="0.3">
      <c r="A35" s="5">
        <v>0.31</v>
      </c>
      <c r="B35" s="2">
        <v>1</v>
      </c>
      <c r="C35" s="2">
        <v>1</v>
      </c>
      <c r="D35" s="5">
        <v>0.31</v>
      </c>
      <c r="E35" s="2">
        <v>1</v>
      </c>
      <c r="F35" s="2">
        <v>1</v>
      </c>
    </row>
    <row r="36" spans="1:10" x14ac:dyDescent="0.3">
      <c r="A36" s="5">
        <v>0.32</v>
      </c>
      <c r="B36" s="2">
        <v>1</v>
      </c>
      <c r="C36" s="2">
        <v>1</v>
      </c>
      <c r="D36" s="5">
        <v>0.32</v>
      </c>
      <c r="E36" s="2">
        <v>1</v>
      </c>
      <c r="F36" s="2">
        <v>1</v>
      </c>
      <c r="I36" t="s">
        <v>11</v>
      </c>
      <c r="J36" t="s">
        <v>12</v>
      </c>
    </row>
    <row r="37" spans="1:10" x14ac:dyDescent="0.3">
      <c r="A37" s="5">
        <v>0.33</v>
      </c>
      <c r="B37" s="2">
        <v>1</v>
      </c>
      <c r="C37" s="2">
        <v>1</v>
      </c>
      <c r="D37" s="5">
        <v>0.33</v>
      </c>
      <c r="E37" s="2">
        <v>1</v>
      </c>
      <c r="F37" s="2">
        <v>1</v>
      </c>
      <c r="H37" s="94" t="s">
        <v>1</v>
      </c>
      <c r="I37" s="1">
        <v>0</v>
      </c>
      <c r="J37" s="1">
        <v>1</v>
      </c>
    </row>
    <row r="38" spans="1:10" x14ac:dyDescent="0.3">
      <c r="A38" s="5">
        <v>0.34</v>
      </c>
      <c r="B38" s="2">
        <v>1</v>
      </c>
      <c r="C38" s="2">
        <v>1</v>
      </c>
      <c r="D38" s="5">
        <v>0.34</v>
      </c>
      <c r="E38" s="2">
        <v>1</v>
      </c>
      <c r="F38" s="2">
        <v>1</v>
      </c>
      <c r="H38" s="94"/>
      <c r="I38" s="1">
        <v>0.5</v>
      </c>
      <c r="J38" s="1">
        <v>1</v>
      </c>
    </row>
    <row r="39" spans="1:10" x14ac:dyDescent="0.3">
      <c r="A39" s="5">
        <v>0.35</v>
      </c>
      <c r="B39" s="2">
        <v>1</v>
      </c>
      <c r="C39" s="2">
        <v>1</v>
      </c>
      <c r="D39" s="5">
        <v>0.35</v>
      </c>
      <c r="E39" s="2">
        <v>1</v>
      </c>
      <c r="F39" s="2">
        <v>1</v>
      </c>
    </row>
    <row r="40" spans="1:10" x14ac:dyDescent="0.3">
      <c r="A40" s="5">
        <v>0.36</v>
      </c>
      <c r="B40" s="2">
        <v>1</v>
      </c>
      <c r="C40" s="2">
        <v>1</v>
      </c>
      <c r="D40" s="5">
        <v>0.36</v>
      </c>
      <c r="E40" s="2">
        <v>1</v>
      </c>
      <c r="F40" s="2">
        <v>1</v>
      </c>
    </row>
    <row r="41" spans="1:10" x14ac:dyDescent="0.3">
      <c r="A41" s="5">
        <v>0.37</v>
      </c>
      <c r="B41" s="2">
        <v>1</v>
      </c>
      <c r="C41" s="2">
        <v>1</v>
      </c>
      <c r="D41" s="5">
        <v>0.37</v>
      </c>
      <c r="E41" s="2">
        <v>1</v>
      </c>
      <c r="F41" s="2">
        <v>1</v>
      </c>
    </row>
    <row r="42" spans="1:10" x14ac:dyDescent="0.3">
      <c r="A42" s="5">
        <v>0.38</v>
      </c>
      <c r="B42" s="2">
        <v>1</v>
      </c>
      <c r="C42" s="2">
        <v>1</v>
      </c>
      <c r="D42" s="5">
        <v>0.38</v>
      </c>
      <c r="E42" s="2">
        <v>1</v>
      </c>
      <c r="F42" s="2">
        <v>1</v>
      </c>
    </row>
    <row r="43" spans="1:10" x14ac:dyDescent="0.3">
      <c r="A43" s="5">
        <v>0.39</v>
      </c>
      <c r="B43" s="2">
        <v>1</v>
      </c>
      <c r="C43" s="2">
        <v>1</v>
      </c>
      <c r="D43" s="5">
        <v>0.39</v>
      </c>
      <c r="E43" s="2">
        <v>1</v>
      </c>
      <c r="F43" s="2">
        <v>1</v>
      </c>
    </row>
    <row r="44" spans="1:10" x14ac:dyDescent="0.3">
      <c r="A44" s="5">
        <v>0.4</v>
      </c>
      <c r="B44" s="2">
        <v>1</v>
      </c>
      <c r="C44" s="2">
        <v>1</v>
      </c>
      <c r="D44" s="5">
        <v>0.4</v>
      </c>
      <c r="E44" s="2">
        <v>1</v>
      </c>
      <c r="F44" s="2">
        <v>1</v>
      </c>
    </row>
    <row r="45" spans="1:10" x14ac:dyDescent="0.3">
      <c r="A45" s="5">
        <v>0.41</v>
      </c>
      <c r="B45" s="2">
        <v>1</v>
      </c>
      <c r="C45" s="2">
        <v>1</v>
      </c>
      <c r="D45" s="5">
        <v>0.41</v>
      </c>
      <c r="E45" s="2">
        <v>1</v>
      </c>
      <c r="F45" s="2">
        <v>1</v>
      </c>
    </row>
    <row r="46" spans="1:10" x14ac:dyDescent="0.3">
      <c r="A46" s="5">
        <v>0.42</v>
      </c>
      <c r="B46" s="2">
        <v>1</v>
      </c>
      <c r="C46" s="2">
        <v>1</v>
      </c>
      <c r="D46" s="5">
        <v>0.42</v>
      </c>
      <c r="E46" s="2">
        <v>1</v>
      </c>
      <c r="F46" s="2">
        <v>1</v>
      </c>
    </row>
    <row r="47" spans="1:10" x14ac:dyDescent="0.3">
      <c r="A47" s="5">
        <v>0.43</v>
      </c>
      <c r="B47" s="2">
        <v>1</v>
      </c>
      <c r="C47" s="2">
        <v>1</v>
      </c>
      <c r="D47" s="5">
        <v>0.43</v>
      </c>
      <c r="E47" s="2">
        <v>1</v>
      </c>
      <c r="F47" s="2">
        <v>1</v>
      </c>
    </row>
    <row r="48" spans="1:10" x14ac:dyDescent="0.3">
      <c r="A48" s="5">
        <v>0.44</v>
      </c>
      <c r="B48" s="2">
        <v>1</v>
      </c>
      <c r="C48" s="2">
        <v>1</v>
      </c>
      <c r="D48" s="5">
        <v>0.44</v>
      </c>
      <c r="E48" s="2">
        <v>1</v>
      </c>
      <c r="F48" s="2">
        <v>1</v>
      </c>
    </row>
    <row r="49" spans="1:6" x14ac:dyDescent="0.3">
      <c r="A49" s="5">
        <v>0.45</v>
      </c>
      <c r="B49" s="2">
        <v>1</v>
      </c>
      <c r="C49" s="2">
        <v>1</v>
      </c>
      <c r="D49" s="5">
        <v>0.45</v>
      </c>
      <c r="E49" s="2">
        <v>1</v>
      </c>
      <c r="F49" s="2">
        <v>1</v>
      </c>
    </row>
    <row r="50" spans="1:6" x14ac:dyDescent="0.3">
      <c r="A50" s="5">
        <v>0.46</v>
      </c>
      <c r="B50" s="2">
        <v>1</v>
      </c>
      <c r="C50" s="2">
        <v>1</v>
      </c>
      <c r="D50" s="5">
        <v>0.46</v>
      </c>
      <c r="E50" s="2">
        <v>1</v>
      </c>
      <c r="F50" s="2">
        <v>1</v>
      </c>
    </row>
    <row r="51" spans="1:6" x14ac:dyDescent="0.3">
      <c r="A51" s="5">
        <v>0.47</v>
      </c>
      <c r="B51" s="2">
        <v>1</v>
      </c>
      <c r="C51" s="2">
        <v>1</v>
      </c>
      <c r="D51" s="5">
        <v>0.47</v>
      </c>
      <c r="E51" s="2">
        <v>1</v>
      </c>
      <c r="F51" s="2">
        <v>1</v>
      </c>
    </row>
    <row r="52" spans="1:6" x14ac:dyDescent="0.3">
      <c r="A52" s="5">
        <v>0.48</v>
      </c>
      <c r="B52" s="2">
        <v>1</v>
      </c>
      <c r="C52" s="2">
        <v>1</v>
      </c>
      <c r="D52" s="5">
        <v>0.48</v>
      </c>
      <c r="E52" s="2">
        <v>1</v>
      </c>
      <c r="F52" s="2">
        <v>1</v>
      </c>
    </row>
    <row r="53" spans="1:6" x14ac:dyDescent="0.3">
      <c r="A53" s="5">
        <v>0.49</v>
      </c>
      <c r="B53" s="2">
        <v>1</v>
      </c>
      <c r="C53" s="2">
        <v>1</v>
      </c>
      <c r="D53" s="5">
        <v>0.49</v>
      </c>
      <c r="E53" s="2">
        <v>1</v>
      </c>
      <c r="F53" s="2">
        <v>1</v>
      </c>
    </row>
    <row r="54" spans="1:6" x14ac:dyDescent="0.3">
      <c r="A54" s="5">
        <v>0.5</v>
      </c>
      <c r="B54" s="2">
        <v>1</v>
      </c>
      <c r="C54" s="2">
        <v>1</v>
      </c>
      <c r="D54" s="5">
        <v>0.5</v>
      </c>
      <c r="E54" s="2">
        <v>1</v>
      </c>
      <c r="F54" s="2">
        <v>1</v>
      </c>
    </row>
    <row r="55" spans="1:6" x14ac:dyDescent="0.3">
      <c r="A55" s="5"/>
      <c r="B55" s="2"/>
      <c r="C55" s="2"/>
      <c r="D55" s="5"/>
      <c r="E55" s="5"/>
      <c r="F55" s="2"/>
    </row>
    <row r="56" spans="1:6" x14ac:dyDescent="0.3">
      <c r="A56" s="5"/>
      <c r="B56" s="2"/>
      <c r="C56" s="2"/>
      <c r="D56" s="5"/>
      <c r="E56" s="5"/>
      <c r="F56" s="2"/>
    </row>
    <row r="57" spans="1:6" x14ac:dyDescent="0.3">
      <c r="A57" s="5"/>
      <c r="B57" s="2"/>
      <c r="C57" s="2"/>
      <c r="D57" s="5"/>
      <c r="E57" s="5"/>
      <c r="F57" s="2"/>
    </row>
    <row r="58" spans="1:6" x14ac:dyDescent="0.3">
      <c r="A58" s="5"/>
      <c r="B58" s="2"/>
      <c r="C58" s="2"/>
      <c r="D58" s="5"/>
      <c r="E58" s="5"/>
      <c r="F58" s="2"/>
    </row>
    <row r="59" spans="1:6" x14ac:dyDescent="0.3">
      <c r="A59" s="5"/>
      <c r="B59" s="2"/>
      <c r="C59" s="2"/>
      <c r="D59" s="5"/>
      <c r="E59" s="5"/>
      <c r="F59" s="2"/>
    </row>
    <row r="60" spans="1:6" x14ac:dyDescent="0.3">
      <c r="A60" s="5"/>
      <c r="B60" s="2"/>
      <c r="C60" s="2"/>
      <c r="D60" s="5"/>
      <c r="E60" s="5"/>
      <c r="F60" s="2"/>
    </row>
    <row r="61" spans="1:6" x14ac:dyDescent="0.3">
      <c r="A61" s="5"/>
      <c r="B61" s="2"/>
      <c r="C61" s="2"/>
      <c r="D61" s="5"/>
      <c r="E61" s="5"/>
      <c r="F61" s="2"/>
    </row>
    <row r="62" spans="1:6" x14ac:dyDescent="0.3">
      <c r="A62" s="5"/>
      <c r="B62" s="2"/>
      <c r="C62" s="2"/>
      <c r="D62" s="5"/>
      <c r="E62" s="5"/>
      <c r="F62" s="2"/>
    </row>
    <row r="63" spans="1:6" x14ac:dyDescent="0.3">
      <c r="A63" s="5"/>
      <c r="B63" s="2"/>
      <c r="C63" s="2"/>
      <c r="D63" s="5"/>
      <c r="E63" s="5"/>
      <c r="F63" s="2"/>
    </row>
    <row r="64" spans="1:6" x14ac:dyDescent="0.3">
      <c r="A64" s="5"/>
      <c r="B64" s="2"/>
      <c r="C64" s="2"/>
      <c r="D64" s="5"/>
      <c r="E64" s="5"/>
      <c r="F64" s="2"/>
    </row>
    <row r="65" spans="1:10" x14ac:dyDescent="0.3">
      <c r="A65" s="5"/>
      <c r="B65" s="2"/>
      <c r="C65" s="2"/>
      <c r="D65" s="5"/>
      <c r="E65" s="5"/>
      <c r="F65" s="2"/>
    </row>
    <row r="66" spans="1:10" x14ac:dyDescent="0.3">
      <c r="A66" s="5"/>
      <c r="B66" s="2"/>
      <c r="C66" s="2"/>
      <c r="D66" s="5"/>
      <c r="E66" s="5"/>
      <c r="F66" s="2"/>
    </row>
    <row r="67" spans="1:10" x14ac:dyDescent="0.3">
      <c r="A67" s="5"/>
      <c r="B67" s="2"/>
      <c r="C67" s="2"/>
      <c r="D67" s="5"/>
      <c r="E67" s="5"/>
      <c r="F67" s="2"/>
      <c r="I67" t="s">
        <v>11</v>
      </c>
      <c r="J67" t="s">
        <v>12</v>
      </c>
    </row>
    <row r="68" spans="1:10" x14ac:dyDescent="0.3">
      <c r="A68" s="5"/>
      <c r="B68" s="2"/>
      <c r="C68" s="2"/>
      <c r="D68" s="5"/>
      <c r="E68" s="5"/>
      <c r="F68" s="2"/>
      <c r="H68" s="94" t="s">
        <v>1</v>
      </c>
      <c r="I68" s="1">
        <v>0</v>
      </c>
      <c r="J68" s="1">
        <v>1</v>
      </c>
    </row>
    <row r="69" spans="1:10" x14ac:dyDescent="0.3">
      <c r="A69" s="5"/>
      <c r="B69" s="2"/>
      <c r="C69" s="2"/>
      <c r="D69" s="5"/>
      <c r="E69" s="5"/>
      <c r="F69" s="2"/>
      <c r="H69" s="94"/>
      <c r="I69" s="1">
        <v>0.5</v>
      </c>
      <c r="J69" s="1">
        <v>1</v>
      </c>
    </row>
    <row r="70" spans="1:10" x14ac:dyDescent="0.3">
      <c r="A70" s="5"/>
      <c r="B70" s="2"/>
      <c r="C70" s="2"/>
      <c r="D70" s="5"/>
      <c r="E70" s="5"/>
      <c r="F70" s="2"/>
    </row>
    <row r="71" spans="1:10" x14ac:dyDescent="0.3">
      <c r="A71" s="5"/>
      <c r="B71" s="2"/>
      <c r="C71" s="2"/>
      <c r="D71" s="5"/>
      <c r="E71" s="5"/>
      <c r="F71" s="2"/>
    </row>
    <row r="72" spans="1:10" x14ac:dyDescent="0.3">
      <c r="A72" s="5"/>
      <c r="B72" s="2"/>
      <c r="C72" s="2"/>
      <c r="D72" s="5"/>
      <c r="E72" s="5"/>
      <c r="F72" s="2"/>
    </row>
    <row r="73" spans="1:10" x14ac:dyDescent="0.3">
      <c r="A73" s="5"/>
      <c r="B73" s="2"/>
      <c r="C73" s="2"/>
      <c r="D73" s="5"/>
      <c r="E73" s="5"/>
      <c r="F73" s="2"/>
    </row>
    <row r="74" spans="1:10" x14ac:dyDescent="0.3">
      <c r="A74" s="5"/>
      <c r="B74" s="2"/>
      <c r="C74" s="2"/>
      <c r="D74" s="5"/>
      <c r="E74" s="5"/>
      <c r="F74" s="2"/>
    </row>
    <row r="75" spans="1:10" x14ac:dyDescent="0.3">
      <c r="A75" s="5"/>
      <c r="B75" s="2"/>
      <c r="C75" s="2"/>
      <c r="D75" s="5"/>
      <c r="E75" s="5"/>
      <c r="F75" s="2"/>
    </row>
    <row r="76" spans="1:10" x14ac:dyDescent="0.3">
      <c r="A76" s="5"/>
      <c r="B76" s="2"/>
      <c r="C76" s="2"/>
      <c r="D76" s="5"/>
      <c r="E76" s="5"/>
      <c r="F76" s="2"/>
    </row>
    <row r="77" spans="1:10" x14ac:dyDescent="0.3">
      <c r="A77" s="5"/>
      <c r="B77" s="2"/>
      <c r="C77" s="2"/>
      <c r="D77" s="5"/>
      <c r="E77" s="5"/>
      <c r="F77" s="2"/>
    </row>
    <row r="78" spans="1:10" x14ac:dyDescent="0.3">
      <c r="A78" s="5"/>
      <c r="B78" s="2"/>
      <c r="C78" s="2"/>
      <c r="D78" s="5"/>
      <c r="E78" s="5"/>
      <c r="F78" s="2"/>
    </row>
    <row r="79" spans="1:10" x14ac:dyDescent="0.3">
      <c r="A79" s="5"/>
      <c r="B79" s="2"/>
      <c r="C79" s="2"/>
      <c r="D79" s="5"/>
      <c r="E79" s="5"/>
      <c r="F79" s="2"/>
    </row>
    <row r="80" spans="1:10" x14ac:dyDescent="0.3">
      <c r="A80" s="5"/>
      <c r="B80" s="2"/>
      <c r="C80" s="2"/>
      <c r="D80" s="5"/>
      <c r="E80" s="5"/>
      <c r="F80" s="2"/>
    </row>
    <row r="81" spans="1:6" x14ac:dyDescent="0.3">
      <c r="A81" s="5"/>
      <c r="B81" s="2"/>
      <c r="C81" s="2"/>
      <c r="D81" s="5"/>
      <c r="E81" s="5"/>
      <c r="F81" s="2"/>
    </row>
    <row r="82" spans="1:6" x14ac:dyDescent="0.3">
      <c r="A82" s="5"/>
      <c r="B82" s="2"/>
      <c r="C82" s="2"/>
      <c r="D82" s="5"/>
      <c r="E82" s="5"/>
      <c r="F82" s="2"/>
    </row>
    <row r="83" spans="1:6" x14ac:dyDescent="0.3">
      <c r="A83" s="5"/>
      <c r="B83" s="2"/>
      <c r="C83" s="2"/>
      <c r="D83" s="5"/>
      <c r="E83" s="5"/>
      <c r="F83" s="2"/>
    </row>
    <row r="84" spans="1:6" x14ac:dyDescent="0.3">
      <c r="A84" s="5"/>
      <c r="B84" s="2"/>
      <c r="C84" s="2"/>
      <c r="D84" s="5"/>
      <c r="E84" s="5"/>
      <c r="F84" s="2"/>
    </row>
    <row r="85" spans="1:6" x14ac:dyDescent="0.3">
      <c r="A85" s="5"/>
      <c r="B85" s="2"/>
      <c r="C85" s="2"/>
      <c r="D85" s="5"/>
      <c r="E85" s="5"/>
      <c r="F85" s="2"/>
    </row>
    <row r="86" spans="1:6" x14ac:dyDescent="0.3">
      <c r="A86" s="5"/>
      <c r="B86" s="2"/>
      <c r="C86" s="2"/>
      <c r="D86" s="5"/>
      <c r="E86" s="5"/>
      <c r="F86" s="2"/>
    </row>
    <row r="87" spans="1:6" x14ac:dyDescent="0.3">
      <c r="A87" s="5"/>
      <c r="B87" s="2"/>
      <c r="C87" s="2"/>
      <c r="D87" s="5"/>
      <c r="E87" s="5"/>
      <c r="F87" s="2"/>
    </row>
    <row r="88" spans="1:6" x14ac:dyDescent="0.3">
      <c r="A88" s="5"/>
      <c r="B88" s="2"/>
      <c r="C88" s="2"/>
      <c r="D88" s="5"/>
      <c r="E88" s="5"/>
      <c r="F88" s="2"/>
    </row>
    <row r="89" spans="1:6" x14ac:dyDescent="0.3">
      <c r="A89" s="5"/>
      <c r="B89" s="2"/>
      <c r="C89" s="2"/>
      <c r="D89" s="5"/>
      <c r="E89" s="5"/>
      <c r="F89" s="2"/>
    </row>
    <row r="90" spans="1:6" x14ac:dyDescent="0.3">
      <c r="A90" s="5"/>
      <c r="B90" s="2"/>
      <c r="C90" s="2"/>
      <c r="D90" s="5"/>
      <c r="E90" s="5"/>
      <c r="F90" s="2"/>
    </row>
    <row r="91" spans="1:6" x14ac:dyDescent="0.3">
      <c r="A91" s="5"/>
      <c r="B91" s="2"/>
      <c r="C91" s="2"/>
      <c r="D91" s="5"/>
      <c r="E91" s="5"/>
      <c r="F91" s="2"/>
    </row>
    <row r="92" spans="1:6" x14ac:dyDescent="0.3">
      <c r="A92" s="5"/>
      <c r="B92" s="2"/>
      <c r="C92" s="2"/>
      <c r="D92" s="5"/>
      <c r="E92" s="5"/>
      <c r="F92" s="2"/>
    </row>
    <row r="93" spans="1:6" x14ac:dyDescent="0.3">
      <c r="A93" s="5"/>
      <c r="B93" s="2"/>
      <c r="C93" s="2"/>
      <c r="D93" s="5"/>
      <c r="E93" s="5"/>
      <c r="F93" s="2"/>
    </row>
    <row r="94" spans="1:6" x14ac:dyDescent="0.3">
      <c r="A94" s="5"/>
      <c r="B94" s="2"/>
      <c r="C94" s="2"/>
      <c r="D94" s="5"/>
      <c r="E94" s="5"/>
      <c r="F94" s="2"/>
    </row>
    <row r="95" spans="1:6" x14ac:dyDescent="0.3">
      <c r="A95" s="5"/>
      <c r="B95" s="2"/>
      <c r="C95" s="2"/>
      <c r="D95" s="5"/>
      <c r="E95" s="5"/>
      <c r="F95" s="2"/>
    </row>
    <row r="96" spans="1:6" x14ac:dyDescent="0.3">
      <c r="A96" s="5"/>
      <c r="B96" s="2"/>
      <c r="C96" s="2"/>
      <c r="D96" s="5"/>
      <c r="E96" s="5"/>
      <c r="F96" s="2"/>
    </row>
    <row r="97" spans="1:10" x14ac:dyDescent="0.3">
      <c r="A97" s="5"/>
      <c r="B97" s="2"/>
      <c r="C97" s="2"/>
      <c r="D97" s="5"/>
      <c r="E97" s="5"/>
      <c r="F97" s="2"/>
    </row>
    <row r="98" spans="1:10" x14ac:dyDescent="0.3">
      <c r="A98" s="5"/>
      <c r="B98" s="2"/>
      <c r="C98" s="2"/>
      <c r="D98" s="5"/>
      <c r="E98" s="5"/>
      <c r="F98" s="2"/>
    </row>
    <row r="99" spans="1:10" x14ac:dyDescent="0.3">
      <c r="A99" s="5"/>
      <c r="B99" s="2"/>
      <c r="C99" s="2"/>
      <c r="D99" s="5"/>
      <c r="E99" s="5"/>
      <c r="F99" s="2"/>
      <c r="I99" t="s">
        <v>11</v>
      </c>
      <c r="J99" t="s">
        <v>12</v>
      </c>
    </row>
    <row r="100" spans="1:10" x14ac:dyDescent="0.3">
      <c r="A100" s="5"/>
      <c r="B100" s="2"/>
      <c r="C100" s="2"/>
      <c r="D100" s="5"/>
      <c r="E100" s="5"/>
      <c r="F100" s="2"/>
      <c r="H100" s="94" t="s">
        <v>1</v>
      </c>
      <c r="I100" s="1">
        <v>0</v>
      </c>
      <c r="J100" s="1">
        <v>1</v>
      </c>
    </row>
    <row r="101" spans="1:10" x14ac:dyDescent="0.3">
      <c r="A101" s="5"/>
      <c r="B101" s="2"/>
      <c r="C101" s="2"/>
      <c r="D101" s="5"/>
      <c r="E101" s="5"/>
      <c r="F101" s="2"/>
      <c r="H101" s="94"/>
      <c r="I101" s="1">
        <v>0.5</v>
      </c>
      <c r="J101" s="1">
        <v>1</v>
      </c>
    </row>
    <row r="102" spans="1:10" x14ac:dyDescent="0.3">
      <c r="A102" s="5"/>
      <c r="B102" s="2"/>
      <c r="C102" s="2"/>
      <c r="D102" s="5"/>
      <c r="E102" s="5"/>
      <c r="F102" s="2"/>
    </row>
    <row r="103" spans="1:10" x14ac:dyDescent="0.3">
      <c r="A103" s="5"/>
      <c r="B103" s="2"/>
      <c r="C103" s="2"/>
      <c r="D103" s="5"/>
      <c r="E103" s="5"/>
      <c r="F103" s="2"/>
    </row>
    <row r="104" spans="1:10" x14ac:dyDescent="0.3">
      <c r="A104" s="5"/>
      <c r="B104" s="2"/>
      <c r="C104" s="2"/>
      <c r="D104" s="5"/>
      <c r="E104" s="5"/>
      <c r="F104" s="2"/>
    </row>
  </sheetData>
  <mergeCells count="5">
    <mergeCell ref="B2:F2"/>
    <mergeCell ref="H6:H7"/>
    <mergeCell ref="H37:H38"/>
    <mergeCell ref="H68:H69"/>
    <mergeCell ref="H100:H10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5"/>
  <sheetViews>
    <sheetView zoomScale="70" zoomScaleNormal="70" workbookViewId="0">
      <selection activeCell="K19" sqref="K19"/>
    </sheetView>
  </sheetViews>
  <sheetFormatPr defaultColWidth="9" defaultRowHeight="27.75" customHeight="1" x14ac:dyDescent="0.3"/>
  <cols>
    <col min="1" max="1" width="3.25" style="40" customWidth="1"/>
    <col min="2" max="2" width="9" style="40"/>
    <col min="3" max="3" width="36.375" style="40" customWidth="1"/>
    <col min="4" max="4" width="13.625" style="40" customWidth="1"/>
    <col min="5" max="5" width="18" style="47" customWidth="1"/>
    <col min="6" max="6" width="9.625" style="40" customWidth="1"/>
    <col min="7" max="16384" width="9" style="40"/>
  </cols>
  <sheetData>
    <row r="2" spans="2:6" ht="27.75" customHeight="1" x14ac:dyDescent="0.3">
      <c r="B2" s="98" t="s">
        <v>134</v>
      </c>
      <c r="C2" s="99"/>
      <c r="D2" s="99"/>
      <c r="E2" s="99"/>
      <c r="F2" s="100"/>
    </row>
    <row r="3" spans="2:6" ht="27.75" customHeight="1" x14ac:dyDescent="0.3">
      <c r="B3" s="95" t="s">
        <v>79</v>
      </c>
      <c r="C3" s="95"/>
      <c r="D3" s="41" t="s">
        <v>67</v>
      </c>
      <c r="E3" s="42" t="s">
        <v>38</v>
      </c>
      <c r="F3" s="41" t="s">
        <v>80</v>
      </c>
    </row>
    <row r="4" spans="2:6" ht="27.75" customHeight="1" x14ac:dyDescent="0.3">
      <c r="B4" s="105" t="s">
        <v>81</v>
      </c>
      <c r="C4" s="105"/>
      <c r="D4" s="43" t="s">
        <v>39</v>
      </c>
      <c r="E4" s="44">
        <v>88.4</v>
      </c>
      <c r="F4" s="45" t="s">
        <v>40</v>
      </c>
    </row>
    <row r="5" spans="2:6" ht="27.75" customHeight="1" x14ac:dyDescent="0.3">
      <c r="B5" s="105" t="s">
        <v>41</v>
      </c>
      <c r="C5" s="105"/>
      <c r="D5" s="43" t="s">
        <v>82</v>
      </c>
      <c r="E5" s="44" t="e">
        <f>'Linearity Data'!V6</f>
        <v>#N/A</v>
      </c>
      <c r="F5" s="45" t="s">
        <v>42</v>
      </c>
    </row>
    <row r="6" spans="2:6" ht="27.75" customHeight="1" x14ac:dyDescent="0.3">
      <c r="B6" s="105" t="s">
        <v>43</v>
      </c>
      <c r="C6" s="105"/>
      <c r="D6" s="43" t="s">
        <v>109</v>
      </c>
      <c r="E6" s="44" t="e">
        <f>E7*E5</f>
        <v>#N/A</v>
      </c>
      <c r="F6" s="45" t="s">
        <v>44</v>
      </c>
    </row>
    <row r="7" spans="2:6" ht="27.75" customHeight="1" x14ac:dyDescent="0.3">
      <c r="B7" s="105"/>
      <c r="C7" s="105"/>
      <c r="D7" s="43" t="s">
        <v>110</v>
      </c>
      <c r="E7" s="44">
        <f>'Linearity Data'!C5</f>
        <v>0</v>
      </c>
      <c r="F7" s="45" t="s">
        <v>37</v>
      </c>
    </row>
    <row r="8" spans="2:6" ht="27.75" customHeight="1" x14ac:dyDescent="0.3">
      <c r="B8" s="105" t="s">
        <v>101</v>
      </c>
      <c r="C8" s="105"/>
      <c r="D8" s="43" t="s">
        <v>102</v>
      </c>
      <c r="E8" s="44" t="e">
        <f>'Linearity Data'!V10</f>
        <v>#N/A</v>
      </c>
      <c r="F8" s="45" t="s">
        <v>44</v>
      </c>
    </row>
    <row r="9" spans="2:6" ht="27.75" customHeight="1" x14ac:dyDescent="0.3">
      <c r="B9" s="105"/>
      <c r="C9" s="105"/>
      <c r="D9" s="43" t="s">
        <v>103</v>
      </c>
      <c r="E9" s="44" t="e">
        <f>E8/E5</f>
        <v>#N/A</v>
      </c>
      <c r="F9" s="45" t="s">
        <v>37</v>
      </c>
    </row>
    <row r="10" spans="2:6" ht="27.75" customHeight="1" x14ac:dyDescent="0.3">
      <c r="B10" s="105" t="s">
        <v>68</v>
      </c>
      <c r="C10" s="105"/>
      <c r="D10" s="43" t="s">
        <v>45</v>
      </c>
      <c r="E10" s="44">
        <f>'Linearity Data'!W26</f>
        <v>1</v>
      </c>
      <c r="F10" s="45" t="s">
        <v>69</v>
      </c>
    </row>
    <row r="11" spans="2:6" ht="27.75" customHeight="1" x14ac:dyDescent="0.3">
      <c r="B11" s="105"/>
      <c r="C11" s="105"/>
      <c r="D11" s="43" t="s">
        <v>70</v>
      </c>
      <c r="E11" s="44">
        <f>20*LOG(E10)</f>
        <v>0</v>
      </c>
      <c r="F11" s="45" t="s">
        <v>71</v>
      </c>
    </row>
    <row r="12" spans="2:6" ht="27.75" customHeight="1" x14ac:dyDescent="0.3">
      <c r="B12" s="105"/>
      <c r="C12" s="105"/>
      <c r="D12" s="43" t="s">
        <v>72</v>
      </c>
      <c r="E12" s="44">
        <f>LOG(E10)/LOG(2)</f>
        <v>0</v>
      </c>
      <c r="F12" s="45" t="s">
        <v>46</v>
      </c>
    </row>
    <row r="13" spans="2:6" ht="27.75" customHeight="1" x14ac:dyDescent="0.3">
      <c r="B13" s="96" t="s">
        <v>104</v>
      </c>
      <c r="C13" s="97"/>
      <c r="D13" s="43" t="s">
        <v>105</v>
      </c>
      <c r="E13" s="44" t="e">
        <f>'Linearity Data'!V11</f>
        <v>#N/A</v>
      </c>
      <c r="F13" s="45" t="s">
        <v>40</v>
      </c>
    </row>
    <row r="14" spans="2:6" ht="27.75" customHeight="1" x14ac:dyDescent="0.3">
      <c r="B14" s="96" t="s">
        <v>73</v>
      </c>
      <c r="C14" s="97"/>
      <c r="D14" s="43" t="s">
        <v>74</v>
      </c>
      <c r="E14" s="46" t="s">
        <v>75</v>
      </c>
      <c r="F14" s="45"/>
    </row>
    <row r="15" spans="2:6" ht="27.75" customHeight="1" x14ac:dyDescent="0.3">
      <c r="B15" s="96" t="s">
        <v>47</v>
      </c>
      <c r="C15" s="97"/>
      <c r="D15" s="43" t="s">
        <v>74</v>
      </c>
      <c r="E15" s="46" t="s">
        <v>75</v>
      </c>
      <c r="F15" s="45"/>
    </row>
    <row r="16" spans="2:6" ht="27.75" customHeight="1" x14ac:dyDescent="0.3">
      <c r="B16" s="105" t="s">
        <v>76</v>
      </c>
      <c r="C16" s="105"/>
      <c r="D16" s="43" t="s">
        <v>48</v>
      </c>
      <c r="E16" s="44">
        <f>'Linearity Data'!V73</f>
        <v>0</v>
      </c>
      <c r="F16" s="45" t="s">
        <v>40</v>
      </c>
    </row>
    <row r="17" spans="2:6" ht="27.75" customHeight="1" x14ac:dyDescent="0.3">
      <c r="B17" s="105" t="s">
        <v>49</v>
      </c>
      <c r="C17" s="105"/>
      <c r="D17" s="43" t="s">
        <v>106</v>
      </c>
      <c r="E17" s="44">
        <f>'Linearity Data'!V25</f>
        <v>0</v>
      </c>
      <c r="F17" s="45" t="s">
        <v>44</v>
      </c>
    </row>
    <row r="18" spans="2:6" ht="27.75" customHeight="1" x14ac:dyDescent="0.3">
      <c r="B18" s="101" t="s">
        <v>77</v>
      </c>
      <c r="C18" s="102"/>
      <c r="D18" s="43" t="s">
        <v>107</v>
      </c>
      <c r="E18" s="47" t="e">
        <f>E19/E5</f>
        <v>#N/A</v>
      </c>
      <c r="F18" s="45" t="s">
        <v>37</v>
      </c>
    </row>
    <row r="19" spans="2:6" ht="27.75" customHeight="1" x14ac:dyDescent="0.3">
      <c r="B19" s="103"/>
      <c r="C19" s="104"/>
      <c r="D19" s="43" t="s">
        <v>108</v>
      </c>
      <c r="E19" s="44">
        <f>'Linearity Data'!V26*E4/100</f>
        <v>0</v>
      </c>
      <c r="F19" s="45" t="s">
        <v>44</v>
      </c>
    </row>
    <row r="20" spans="2:6" ht="27.75" customHeight="1" x14ac:dyDescent="0.3">
      <c r="B20" s="105" t="s">
        <v>50</v>
      </c>
      <c r="C20" s="105"/>
      <c r="D20" s="43" t="s">
        <v>51</v>
      </c>
      <c r="E20" s="44" t="e">
        <f>E19/E6</f>
        <v>#N/A</v>
      </c>
      <c r="F20" s="45" t="s">
        <v>69</v>
      </c>
    </row>
    <row r="21" spans="2:6" ht="27.75" customHeight="1" x14ac:dyDescent="0.3">
      <c r="B21" s="105"/>
      <c r="C21" s="105"/>
      <c r="D21" s="43" t="s">
        <v>78</v>
      </c>
      <c r="E21" s="44" t="e">
        <f>20*LOG(E20)</f>
        <v>#N/A</v>
      </c>
      <c r="F21" s="45" t="s">
        <v>71</v>
      </c>
    </row>
    <row r="22" spans="2:6" ht="27.75" customHeight="1" x14ac:dyDescent="0.3">
      <c r="B22" s="105"/>
      <c r="C22" s="105"/>
      <c r="D22" s="43" t="s">
        <v>52</v>
      </c>
      <c r="E22" s="44" t="e">
        <f>LOG(E20)/LOG(2)</f>
        <v>#N/A</v>
      </c>
      <c r="F22" s="45" t="s">
        <v>46</v>
      </c>
    </row>
    <row r="23" spans="2:6" ht="27.75" customHeight="1" x14ac:dyDescent="0.3">
      <c r="B23" s="48"/>
      <c r="D23" s="49"/>
    </row>
    <row r="24" spans="2:6" ht="27.75" customHeight="1" x14ac:dyDescent="0.3">
      <c r="B24" s="48"/>
      <c r="D24" s="49"/>
    </row>
    <row r="25" spans="2:6" ht="27.75" customHeight="1" x14ac:dyDescent="0.3">
      <c r="B25" s="48"/>
      <c r="D25" s="49"/>
    </row>
  </sheetData>
  <mergeCells count="14">
    <mergeCell ref="B20:C22"/>
    <mergeCell ref="B8:C9"/>
    <mergeCell ref="B14:C14"/>
    <mergeCell ref="B15:C15"/>
    <mergeCell ref="B5:C5"/>
    <mergeCell ref="B17:C17"/>
    <mergeCell ref="B16:C16"/>
    <mergeCell ref="B3:C3"/>
    <mergeCell ref="B13:C13"/>
    <mergeCell ref="B2:F2"/>
    <mergeCell ref="B18:C19"/>
    <mergeCell ref="B4:C4"/>
    <mergeCell ref="B6:C7"/>
    <mergeCell ref="B10:C1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9"/>
  <sheetViews>
    <sheetView zoomScale="70" zoomScaleNormal="70" workbookViewId="0">
      <selection activeCell="D18" sqref="D18:E18"/>
    </sheetView>
  </sheetViews>
  <sheetFormatPr defaultColWidth="9" defaultRowHeight="27" customHeight="1" x14ac:dyDescent="0.3"/>
  <cols>
    <col min="1" max="1" width="4.375" style="54" customWidth="1"/>
    <col min="2" max="2" width="9" style="54"/>
    <col min="3" max="3" width="23.875" style="54" customWidth="1"/>
    <col min="4" max="4" width="9" style="54"/>
    <col min="5" max="5" width="23.875" style="54" customWidth="1"/>
    <col min="6" max="6" width="10.25" style="54" customWidth="1"/>
    <col min="7" max="16384" width="9" style="54"/>
  </cols>
  <sheetData>
    <row r="2" spans="2:6" ht="27" customHeight="1" x14ac:dyDescent="0.3">
      <c r="B2" s="98" t="s">
        <v>134</v>
      </c>
      <c r="C2" s="99"/>
      <c r="D2" s="99"/>
      <c r="E2" s="99"/>
      <c r="F2" s="100"/>
    </row>
    <row r="3" spans="2:6" ht="27" customHeight="1" x14ac:dyDescent="0.3">
      <c r="B3" s="106" t="s">
        <v>79</v>
      </c>
      <c r="C3" s="107"/>
      <c r="D3" s="106" t="s">
        <v>53</v>
      </c>
      <c r="E3" s="107"/>
      <c r="F3" s="50" t="s">
        <v>80</v>
      </c>
    </row>
    <row r="4" spans="2:6" ht="27" customHeight="1" x14ac:dyDescent="0.3">
      <c r="B4" s="96" t="s">
        <v>54</v>
      </c>
      <c r="C4" s="97"/>
      <c r="D4" s="108">
        <v>3.1</v>
      </c>
      <c r="E4" s="109"/>
      <c r="F4" s="51"/>
    </row>
    <row r="5" spans="2:6" ht="27" customHeight="1" x14ac:dyDescent="0.3">
      <c r="B5" s="96" t="s">
        <v>56</v>
      </c>
      <c r="C5" s="97"/>
      <c r="D5" s="108" t="s">
        <v>57</v>
      </c>
      <c r="E5" s="109"/>
      <c r="F5" s="51"/>
    </row>
    <row r="6" spans="2:6" ht="27" customHeight="1" x14ac:dyDescent="0.3">
      <c r="B6" s="96" t="s">
        <v>58</v>
      </c>
      <c r="C6" s="97"/>
      <c r="D6" s="108" t="s">
        <v>124</v>
      </c>
      <c r="E6" s="109"/>
      <c r="F6" s="51"/>
    </row>
    <row r="7" spans="2:6" ht="27" customHeight="1" x14ac:dyDescent="0.3">
      <c r="B7" s="96" t="s">
        <v>55</v>
      </c>
      <c r="C7" s="97"/>
      <c r="D7" s="108" t="s">
        <v>135</v>
      </c>
      <c r="E7" s="109"/>
      <c r="F7" s="51"/>
    </row>
    <row r="8" spans="2:6" ht="27" customHeight="1" x14ac:dyDescent="0.3">
      <c r="B8" s="96" t="s">
        <v>136</v>
      </c>
      <c r="C8" s="97"/>
      <c r="D8" s="108" t="s">
        <v>137</v>
      </c>
      <c r="E8" s="109"/>
      <c r="F8" s="51"/>
    </row>
    <row r="9" spans="2:6" ht="27" customHeight="1" x14ac:dyDescent="0.3">
      <c r="B9" s="96" t="s">
        <v>138</v>
      </c>
      <c r="C9" s="97"/>
      <c r="D9" s="108" t="s">
        <v>139</v>
      </c>
      <c r="E9" s="109"/>
      <c r="F9" s="51"/>
    </row>
    <row r="10" spans="2:6" ht="27" customHeight="1" x14ac:dyDescent="0.3">
      <c r="B10" s="96" t="s">
        <v>94</v>
      </c>
      <c r="C10" s="97"/>
      <c r="D10" s="108" t="s">
        <v>140</v>
      </c>
      <c r="E10" s="109"/>
      <c r="F10" s="51"/>
    </row>
    <row r="11" spans="2:6" ht="27" customHeight="1" x14ac:dyDescent="0.3">
      <c r="B11" s="96" t="s">
        <v>95</v>
      </c>
      <c r="C11" s="97"/>
      <c r="D11" s="110">
        <f>SQRT(D13^2+D14^2)*D15/1000</f>
        <v>66.693377085332841</v>
      </c>
      <c r="E11" s="111"/>
      <c r="F11" s="51" t="s">
        <v>93</v>
      </c>
    </row>
    <row r="12" spans="2:6" ht="27" customHeight="1" x14ac:dyDescent="0.3">
      <c r="B12" s="96" t="s">
        <v>141</v>
      </c>
      <c r="C12" s="97"/>
      <c r="D12" s="112">
        <f>D11/18</f>
        <v>3.7051876158518247</v>
      </c>
      <c r="E12" s="113"/>
      <c r="F12" s="51" t="s">
        <v>83</v>
      </c>
    </row>
    <row r="13" spans="2:6" ht="27" customHeight="1" x14ac:dyDescent="0.3">
      <c r="B13" s="96" t="s">
        <v>96</v>
      </c>
      <c r="C13" s="97"/>
      <c r="D13" s="108">
        <v>14192</v>
      </c>
      <c r="E13" s="109"/>
      <c r="F13" s="51"/>
    </row>
    <row r="14" spans="2:6" ht="27" customHeight="1" x14ac:dyDescent="0.3">
      <c r="B14" s="96" t="s">
        <v>86</v>
      </c>
      <c r="C14" s="97"/>
      <c r="D14" s="108">
        <v>10640</v>
      </c>
      <c r="E14" s="109"/>
      <c r="F14" s="51"/>
    </row>
    <row r="15" spans="2:6" ht="27" customHeight="1" x14ac:dyDescent="0.3">
      <c r="B15" s="96" t="s">
        <v>84</v>
      </c>
      <c r="C15" s="97"/>
      <c r="D15" s="108">
        <v>3.76</v>
      </c>
      <c r="E15" s="109"/>
      <c r="F15" s="51" t="s">
        <v>142</v>
      </c>
    </row>
    <row r="16" spans="2:6" ht="27" customHeight="1" x14ac:dyDescent="0.3">
      <c r="B16" s="96" t="s">
        <v>87</v>
      </c>
      <c r="C16" s="97"/>
      <c r="D16" s="108" t="s">
        <v>85</v>
      </c>
      <c r="E16" s="109"/>
      <c r="F16" s="51"/>
    </row>
    <row r="17" spans="2:6" ht="27" customHeight="1" x14ac:dyDescent="0.3">
      <c r="B17" s="96" t="s">
        <v>97</v>
      </c>
      <c r="C17" s="97"/>
      <c r="D17" s="108" t="s">
        <v>143</v>
      </c>
      <c r="E17" s="109"/>
      <c r="F17" s="51"/>
    </row>
    <row r="18" spans="2:6" ht="27" customHeight="1" x14ac:dyDescent="0.3">
      <c r="B18" s="96" t="s">
        <v>98</v>
      </c>
      <c r="C18" s="97"/>
      <c r="D18" s="108">
        <v>6.2</v>
      </c>
      <c r="E18" s="109"/>
      <c r="F18" s="51" t="s">
        <v>99</v>
      </c>
    </row>
    <row r="19" spans="2:6" ht="27" customHeight="1" x14ac:dyDescent="0.3">
      <c r="B19" s="96" t="s">
        <v>100</v>
      </c>
      <c r="C19" s="97"/>
      <c r="D19" s="108" t="s">
        <v>144</v>
      </c>
      <c r="E19" s="109"/>
      <c r="F19" s="51"/>
    </row>
  </sheetData>
  <mergeCells count="35">
    <mergeCell ref="B19:C19"/>
    <mergeCell ref="D19:E19"/>
    <mergeCell ref="B17:C17"/>
    <mergeCell ref="D17:E17"/>
    <mergeCell ref="B18:C18"/>
    <mergeCell ref="D18:E18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5:C5"/>
    <mergeCell ref="D5:E5"/>
    <mergeCell ref="B6:C6"/>
    <mergeCell ref="D6:E6"/>
    <mergeCell ref="B7:C7"/>
    <mergeCell ref="D7:E7"/>
    <mergeCell ref="B2:F2"/>
    <mergeCell ref="B3:C3"/>
    <mergeCell ref="D3:E3"/>
    <mergeCell ref="B4:C4"/>
    <mergeCell ref="D4:E4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16"/>
  <sheetViews>
    <sheetView zoomScale="85" zoomScaleNormal="85" workbookViewId="0">
      <selection activeCell="D7" sqref="D7:F7"/>
    </sheetView>
  </sheetViews>
  <sheetFormatPr defaultColWidth="9" defaultRowHeight="27" customHeight="1" x14ac:dyDescent="0.3"/>
  <cols>
    <col min="1" max="1" width="5.25" style="40" customWidth="1"/>
    <col min="2" max="2" width="12" style="40" customWidth="1"/>
    <col min="3" max="3" width="18" style="40" customWidth="1"/>
    <col min="4" max="4" width="10.375" style="40" customWidth="1"/>
    <col min="5" max="5" width="4.25" style="40" customWidth="1"/>
    <col min="6" max="6" width="11.75" style="40" customWidth="1"/>
    <col min="7" max="7" width="9.25" style="40" customWidth="1"/>
    <col min="8" max="8" width="12.25" style="40" customWidth="1"/>
    <col min="9" max="9" width="15.375" style="40" bestFit="1" customWidth="1"/>
    <col min="10" max="10" width="10.375" style="40" customWidth="1"/>
    <col min="11" max="11" width="7" style="40" customWidth="1"/>
    <col min="12" max="16384" width="9" style="40"/>
  </cols>
  <sheetData>
    <row r="1" spans="2:10" ht="27" customHeight="1" x14ac:dyDescent="0.3">
      <c r="B1" s="49"/>
      <c r="C1" s="49"/>
      <c r="D1" s="49"/>
      <c r="E1" s="49"/>
      <c r="F1" s="49"/>
      <c r="G1" s="49"/>
    </row>
    <row r="2" spans="2:10" ht="27" customHeight="1" x14ac:dyDescent="0.3">
      <c r="B2" s="121" t="s">
        <v>134</v>
      </c>
      <c r="C2" s="122"/>
      <c r="D2" s="122"/>
      <c r="E2" s="122"/>
      <c r="F2" s="122"/>
      <c r="G2" s="123"/>
    </row>
    <row r="3" spans="2:10" ht="27" customHeight="1" x14ac:dyDescent="0.3">
      <c r="B3" s="106" t="s">
        <v>79</v>
      </c>
      <c r="C3" s="107"/>
      <c r="D3" s="106" t="s">
        <v>53</v>
      </c>
      <c r="E3" s="124"/>
      <c r="F3" s="107"/>
      <c r="G3" s="50" t="s">
        <v>80</v>
      </c>
    </row>
    <row r="4" spans="2:10" ht="27" customHeight="1" x14ac:dyDescent="0.3">
      <c r="B4" s="96" t="s">
        <v>88</v>
      </c>
      <c r="C4" s="97"/>
      <c r="D4" s="108" t="s">
        <v>145</v>
      </c>
      <c r="E4" s="117"/>
      <c r="F4" s="109"/>
      <c r="G4" s="51" t="s">
        <v>46</v>
      </c>
      <c r="J4" s="52"/>
    </row>
    <row r="5" spans="2:10" ht="27" customHeight="1" x14ac:dyDescent="0.3">
      <c r="B5" s="96" t="s">
        <v>61</v>
      </c>
      <c r="C5" s="97"/>
      <c r="D5" s="108">
        <v>0</v>
      </c>
      <c r="E5" s="117"/>
      <c r="F5" s="109"/>
      <c r="G5" s="51" t="s">
        <v>125</v>
      </c>
    </row>
    <row r="6" spans="2:10" ht="27" customHeight="1" x14ac:dyDescent="0.3">
      <c r="B6" s="96" t="s">
        <v>89</v>
      </c>
      <c r="C6" s="97"/>
      <c r="D6" s="108">
        <v>5</v>
      </c>
      <c r="E6" s="117"/>
      <c r="F6" s="109"/>
      <c r="G6" s="51" t="s">
        <v>125</v>
      </c>
    </row>
    <row r="7" spans="2:10" ht="27" customHeight="1" x14ac:dyDescent="0.3">
      <c r="B7" s="96" t="s">
        <v>126</v>
      </c>
      <c r="C7" s="97"/>
      <c r="D7" s="108">
        <v>10</v>
      </c>
      <c r="E7" s="117"/>
      <c r="F7" s="109"/>
      <c r="G7" s="51" t="s">
        <v>123</v>
      </c>
    </row>
    <row r="8" spans="2:10" ht="27" customHeight="1" x14ac:dyDescent="0.3">
      <c r="B8" s="96" t="s">
        <v>90</v>
      </c>
      <c r="C8" s="97"/>
      <c r="D8" s="118">
        <f ca="1">NOW()</f>
        <v>45883.568270370371</v>
      </c>
      <c r="E8" s="119"/>
      <c r="F8" s="109"/>
      <c r="G8" s="51" t="s">
        <v>62</v>
      </c>
    </row>
    <row r="9" spans="2:10" ht="15" customHeight="1" x14ac:dyDescent="0.3"/>
    <row r="10" spans="2:10" ht="27" customHeight="1" x14ac:dyDescent="0.3">
      <c r="B10" s="121" t="s">
        <v>127</v>
      </c>
      <c r="C10" s="122"/>
      <c r="D10" s="122"/>
      <c r="E10" s="122"/>
      <c r="F10" s="122"/>
      <c r="G10" s="123"/>
    </row>
    <row r="11" spans="2:10" ht="27" customHeight="1" x14ac:dyDescent="0.3">
      <c r="B11" s="106" t="s">
        <v>128</v>
      </c>
      <c r="C11" s="107"/>
      <c r="D11" s="106" t="s">
        <v>129</v>
      </c>
      <c r="E11" s="124"/>
      <c r="F11" s="107"/>
      <c r="G11" s="50" t="s">
        <v>80</v>
      </c>
    </row>
    <row r="12" spans="2:10" ht="89.25" customHeight="1" x14ac:dyDescent="0.3">
      <c r="B12" s="120" t="s">
        <v>63</v>
      </c>
      <c r="C12" s="97"/>
      <c r="D12" s="114" t="s">
        <v>91</v>
      </c>
      <c r="E12" s="115"/>
      <c r="F12" s="116"/>
      <c r="G12" s="53" t="s">
        <v>64</v>
      </c>
    </row>
    <row r="13" spans="2:10" ht="27" customHeight="1" x14ac:dyDescent="0.3">
      <c r="B13" s="96" t="s">
        <v>92</v>
      </c>
      <c r="C13" s="97"/>
      <c r="D13" s="108" t="s">
        <v>130</v>
      </c>
      <c r="E13" s="117"/>
      <c r="F13" s="109"/>
      <c r="G13" s="51"/>
    </row>
    <row r="14" spans="2:10" ht="48.75" customHeight="1" x14ac:dyDescent="0.3">
      <c r="B14" s="120" t="s">
        <v>131</v>
      </c>
      <c r="C14" s="97"/>
      <c r="D14" s="108">
        <v>112</v>
      </c>
      <c r="E14" s="117"/>
      <c r="F14" s="109"/>
      <c r="G14" s="51" t="s">
        <v>93</v>
      </c>
    </row>
    <row r="15" spans="2:10" ht="45.75" customHeight="1" x14ac:dyDescent="0.3">
      <c r="B15" s="120" t="s">
        <v>132</v>
      </c>
      <c r="C15" s="97"/>
      <c r="D15" s="108">
        <v>14</v>
      </c>
      <c r="E15" s="117"/>
      <c r="F15" s="109"/>
      <c r="G15" s="51" t="s">
        <v>93</v>
      </c>
    </row>
    <row r="16" spans="2:10" ht="27" customHeight="1" x14ac:dyDescent="0.3">
      <c r="B16" s="96" t="s">
        <v>59</v>
      </c>
      <c r="C16" s="97"/>
      <c r="D16" s="108">
        <v>8</v>
      </c>
      <c r="E16" s="117"/>
      <c r="F16" s="109"/>
      <c r="G16" s="51" t="s">
        <v>60</v>
      </c>
    </row>
  </sheetData>
  <mergeCells count="26">
    <mergeCell ref="B2:G2"/>
    <mergeCell ref="B3:C3"/>
    <mergeCell ref="D3:F3"/>
    <mergeCell ref="B4:C4"/>
    <mergeCell ref="D4:F4"/>
    <mergeCell ref="B16:C16"/>
    <mergeCell ref="D16:F16"/>
    <mergeCell ref="B15:C15"/>
    <mergeCell ref="D15:F15"/>
    <mergeCell ref="B5:C5"/>
    <mergeCell ref="D5:F5"/>
    <mergeCell ref="B6:C6"/>
    <mergeCell ref="D6:F6"/>
    <mergeCell ref="B13:C13"/>
    <mergeCell ref="D13:F13"/>
    <mergeCell ref="B14:C14"/>
    <mergeCell ref="D14:F14"/>
    <mergeCell ref="B10:G10"/>
    <mergeCell ref="B11:C11"/>
    <mergeCell ref="D11:F11"/>
    <mergeCell ref="B12:C12"/>
    <mergeCell ref="D12:F12"/>
    <mergeCell ref="B7:C7"/>
    <mergeCell ref="D7:F7"/>
    <mergeCell ref="B8:C8"/>
    <mergeCell ref="D8:F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Report</vt:lpstr>
      <vt:lpstr>Linearity Data</vt:lpstr>
      <vt:lpstr>Linearity Data(Exposure)</vt:lpstr>
      <vt:lpstr>Linearity HG</vt:lpstr>
      <vt:lpstr>Spectrogram</vt:lpstr>
      <vt:lpstr>Data</vt:lpstr>
      <vt:lpstr>Information</vt:lpstr>
      <vt:lpstr>Operation point</vt:lpstr>
    </vt:vector>
  </TitlesOfParts>
  <Company>XP SP3 FINAL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2007040</dc:creator>
  <cp:lastModifiedBy>오세준 (Sejun Oh)</cp:lastModifiedBy>
  <cp:lastPrinted>2013-05-29T10:10:03Z</cp:lastPrinted>
  <dcterms:created xsi:type="dcterms:W3CDTF">2012-11-13T00:47:27Z</dcterms:created>
  <dcterms:modified xsi:type="dcterms:W3CDTF">2025-08-14T04:38:24Z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43311a-a301-4b9f-bcd5-6665ecc1ef0a_Enabled">
    <vt:lpwstr>true</vt:lpwstr>
  </property>
  <property fmtid="{D5CDD505-2E9C-101B-9397-08002B2CF9AE}" pid="3" name="MSIP_Label_7343311a-a301-4b9f-bcd5-6665ecc1ef0a_SetDate">
    <vt:lpwstr>2025-08-14T04:18:38Z</vt:lpwstr>
  </property>
  <property fmtid="{D5CDD505-2E9C-101B-9397-08002B2CF9AE}" pid="4" name="MSIP_Label_7343311a-a301-4b9f-bcd5-6665ecc1ef0a_Method">
    <vt:lpwstr>Standard</vt:lpwstr>
  </property>
  <property fmtid="{D5CDD505-2E9C-101B-9397-08002B2CF9AE}" pid="5" name="MSIP_Label_7343311a-a301-4b9f-bcd5-6665ecc1ef0a_Name">
    <vt:lpwstr>Open Label</vt:lpwstr>
  </property>
  <property fmtid="{D5CDD505-2E9C-101B-9397-08002B2CF9AE}" pid="6" name="MSIP_Label_7343311a-a301-4b9f-bcd5-6665ecc1ef0a_SiteId">
    <vt:lpwstr>09b926a1-c30f-4465-a6d8-6fb133ff32d4</vt:lpwstr>
  </property>
  <property fmtid="{D5CDD505-2E9C-101B-9397-08002B2CF9AE}" pid="7" name="MSIP_Label_7343311a-a301-4b9f-bcd5-6665ecc1ef0a_ActionId">
    <vt:lpwstr>6f3b97c1-a318-4301-9478-1fb144089ac7</vt:lpwstr>
  </property>
  <property fmtid="{D5CDD505-2E9C-101B-9397-08002B2CF9AE}" pid="8" name="MSIP_Label_7343311a-a301-4b9f-bcd5-6665ecc1ef0a_ContentBits">
    <vt:lpwstr>0</vt:lpwstr>
  </property>
  <property fmtid="{D5CDD505-2E9C-101B-9397-08002B2CF9AE}" pid="9" name="MSIP_Label_7343311a-a301-4b9f-bcd5-6665ecc1ef0a_Tag">
    <vt:lpwstr>10, 3, 0, 1</vt:lpwstr>
  </property>
</Properties>
</file>